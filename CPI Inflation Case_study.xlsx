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queryTables/queryTable3.xml" ContentType="application/vnd.openxmlformats-officedocument.spreadsheetml.queryTable+xml"/>
  <Override PartName="/xl/tables/table8.xml" ContentType="application/vnd.openxmlformats-officedocument.spreadsheetml.table+xml"/>
  <Override PartName="/xl/queryTables/queryTable4.xml" ContentType="application/vnd.openxmlformats-officedocument.spreadsheetml.queryTable+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karan\Downloads\"/>
    </mc:Choice>
  </mc:AlternateContent>
  <xr:revisionPtr revIDLastSave="0" documentId="13_ncr:1_{D13E798A-54D0-4095-AA6E-622EE1FBEBC5}" xr6:coauthVersionLast="47" xr6:coauthVersionMax="47" xr10:uidLastSave="{00000000-0000-0000-0000-000000000000}"/>
  <bookViews>
    <workbookView xWindow="-120" yWindow="-120" windowWidth="29040" windowHeight="16440" activeTab="2" xr2:uid="{F9C0820E-2F1D-4D37-9EC7-30DAF1A336B3}"/>
  </bookViews>
  <sheets>
    <sheet name="2.) All_India_Index_Upto_April2" sheetId="1" r:id="rId1"/>
    <sheet name="Q1" sheetId="9" r:id="rId2"/>
    <sheet name="Q2" sheetId="3" r:id="rId3"/>
    <sheet name="Q3" sheetId="14" r:id="rId4"/>
    <sheet name="Q4" sheetId="5" r:id="rId5"/>
    <sheet name="Q5" sheetId="19" r:id="rId6"/>
  </sheets>
  <definedNames>
    <definedName name="_xlnm._FilterDatabase" localSheetId="0" hidden="1">'2.) All_India_Index_Upto_April2'!$A$1:$AD$373</definedName>
    <definedName name="_xlnm._FilterDatabase" localSheetId="3" hidden="1">'Q3'!$A$15:$P$51</definedName>
    <definedName name="Crude_INF">Table415[Crude INF]</definedName>
    <definedName name="ExternalData_1" localSheetId="1" hidden="1">'Q1'!$A$41:$F$119</definedName>
    <definedName name="ExternalData_1" localSheetId="3" hidden="1">'Q3'!$A$92:$E$131</definedName>
    <definedName name="ExternalData_3" localSheetId="4" hidden="1">'Q4'!$J$35:$O$83</definedName>
    <definedName name="ExternalData_4" localSheetId="4" hidden="1">'Q4'!$B$35:$G$83</definedName>
    <definedName name="Slicer_Sector">#N/A</definedName>
    <definedName name="Slicer_Sector1">#N/A</definedName>
    <definedName name="Slicer_Sector2">#N/A</definedName>
    <definedName name="Slicer_Sector3">#N/A</definedName>
    <definedName name="Slicer_Sector4">#N/A</definedName>
    <definedName name="Slicer_Sector5">#N/A</definedName>
  </definedNames>
  <calcPr calcId="191029"/>
  <pivotCaches>
    <pivotCache cacheId="0" r:id="rId7"/>
    <pivotCache cacheId="1" r:id="rId8"/>
    <pivotCache cacheId="2" r:id="rId9"/>
    <pivotCache cacheId="3" r:id="rId10"/>
    <pivotCache cacheId="4" r:id="rId11"/>
    <pivotCache cacheId="5"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06" i="19" l="1"/>
  <c r="F106" i="19"/>
  <c r="G106" i="19"/>
  <c r="H106" i="19"/>
  <c r="I106" i="19"/>
  <c r="J106" i="19"/>
  <c r="K106" i="19"/>
  <c r="L106" i="19"/>
  <c r="M106" i="19"/>
  <c r="N106" i="19"/>
  <c r="O106" i="19"/>
  <c r="P106" i="19"/>
  <c r="Q106" i="19"/>
  <c r="R106" i="19"/>
  <c r="S106" i="19"/>
  <c r="T106" i="19"/>
  <c r="U106" i="19"/>
  <c r="V106" i="19"/>
  <c r="W106" i="19"/>
  <c r="X106" i="19"/>
  <c r="Y106" i="19"/>
  <c r="Z106" i="19"/>
  <c r="AA106" i="19"/>
  <c r="AB106" i="19"/>
  <c r="AC106" i="19"/>
  <c r="E107" i="19"/>
  <c r="F107" i="19"/>
  <c r="G107" i="19"/>
  <c r="H107" i="19"/>
  <c r="I107" i="19"/>
  <c r="J107" i="19"/>
  <c r="K107" i="19"/>
  <c r="L107" i="19"/>
  <c r="M107" i="19"/>
  <c r="N107" i="19"/>
  <c r="O107" i="19"/>
  <c r="P107" i="19"/>
  <c r="Q107" i="19"/>
  <c r="R107" i="19"/>
  <c r="S107" i="19"/>
  <c r="T107" i="19"/>
  <c r="U107" i="19"/>
  <c r="V107" i="19"/>
  <c r="W107" i="19"/>
  <c r="X107" i="19"/>
  <c r="Y107" i="19"/>
  <c r="Z107" i="19"/>
  <c r="AA107" i="19"/>
  <c r="AB107" i="19"/>
  <c r="AC107" i="19"/>
  <c r="E108" i="19"/>
  <c r="F108" i="19"/>
  <c r="G108" i="19"/>
  <c r="H108" i="19"/>
  <c r="I108" i="19"/>
  <c r="J108" i="19"/>
  <c r="K108" i="19"/>
  <c r="L108" i="19"/>
  <c r="M108" i="19"/>
  <c r="N108" i="19"/>
  <c r="O108" i="19"/>
  <c r="P108" i="19"/>
  <c r="Q108" i="19"/>
  <c r="R108" i="19"/>
  <c r="S108" i="19"/>
  <c r="T108" i="19"/>
  <c r="U108" i="19"/>
  <c r="V108" i="19"/>
  <c r="W108" i="19"/>
  <c r="X108" i="19"/>
  <c r="Y108" i="19"/>
  <c r="Z108" i="19"/>
  <c r="AA108" i="19"/>
  <c r="AB108" i="19"/>
  <c r="AC108" i="19"/>
  <c r="E109" i="19"/>
  <c r="F109" i="19"/>
  <c r="G109" i="19"/>
  <c r="H109" i="19"/>
  <c r="I109" i="19"/>
  <c r="J109" i="19"/>
  <c r="K109" i="19"/>
  <c r="L109" i="19"/>
  <c r="M109" i="19"/>
  <c r="N109" i="19"/>
  <c r="O109" i="19"/>
  <c r="P109" i="19"/>
  <c r="Q109" i="19"/>
  <c r="R109" i="19"/>
  <c r="S109" i="19"/>
  <c r="T109" i="19"/>
  <c r="U109" i="19"/>
  <c r="V109" i="19"/>
  <c r="W109" i="19"/>
  <c r="X109" i="19"/>
  <c r="Y109" i="19"/>
  <c r="Z109" i="19"/>
  <c r="AA109" i="19"/>
  <c r="AB109" i="19"/>
  <c r="AC109" i="19"/>
  <c r="E110" i="19"/>
  <c r="F110" i="19"/>
  <c r="G110" i="19"/>
  <c r="H110" i="19"/>
  <c r="I110" i="19"/>
  <c r="J110" i="19"/>
  <c r="K110" i="19"/>
  <c r="L110" i="19"/>
  <c r="M110" i="19"/>
  <c r="N110" i="19"/>
  <c r="O110" i="19"/>
  <c r="P110" i="19"/>
  <c r="Q110" i="19"/>
  <c r="R110" i="19"/>
  <c r="S110" i="19"/>
  <c r="T110" i="19"/>
  <c r="U110" i="19"/>
  <c r="V110" i="19"/>
  <c r="W110" i="19"/>
  <c r="X110" i="19"/>
  <c r="Y110" i="19"/>
  <c r="Z110" i="19"/>
  <c r="AA110" i="19"/>
  <c r="AB110" i="19"/>
  <c r="AC110" i="19"/>
  <c r="E111" i="19"/>
  <c r="F111" i="19"/>
  <c r="G111" i="19"/>
  <c r="H111" i="19"/>
  <c r="I111" i="19"/>
  <c r="J111" i="19"/>
  <c r="K111" i="19"/>
  <c r="L111" i="19"/>
  <c r="M111" i="19"/>
  <c r="N111" i="19"/>
  <c r="O111" i="19"/>
  <c r="P111" i="19"/>
  <c r="Q111" i="19"/>
  <c r="R111" i="19"/>
  <c r="S111" i="19"/>
  <c r="T111" i="19"/>
  <c r="U111" i="19"/>
  <c r="V111" i="19"/>
  <c r="W111" i="19"/>
  <c r="X111" i="19"/>
  <c r="Y111" i="19"/>
  <c r="Z111" i="19"/>
  <c r="AA111" i="19"/>
  <c r="AB111" i="19"/>
  <c r="AC111" i="19"/>
  <c r="E112" i="19"/>
  <c r="F112" i="19"/>
  <c r="G112" i="19"/>
  <c r="H112" i="19"/>
  <c r="I112" i="19"/>
  <c r="J112" i="19"/>
  <c r="K112" i="19"/>
  <c r="L112" i="19"/>
  <c r="M112" i="19"/>
  <c r="N112" i="19"/>
  <c r="O112" i="19"/>
  <c r="P112" i="19"/>
  <c r="Q112" i="19"/>
  <c r="R112" i="19"/>
  <c r="S112" i="19"/>
  <c r="T112" i="19"/>
  <c r="U112" i="19"/>
  <c r="V112" i="19"/>
  <c r="W112" i="19"/>
  <c r="X112" i="19"/>
  <c r="Y112" i="19"/>
  <c r="Z112" i="19"/>
  <c r="AA112" i="19"/>
  <c r="AB112" i="19"/>
  <c r="AC112" i="19"/>
  <c r="E113" i="19"/>
  <c r="F113" i="19"/>
  <c r="G113" i="19"/>
  <c r="H113" i="19"/>
  <c r="I113" i="19"/>
  <c r="J113" i="19"/>
  <c r="K113" i="19"/>
  <c r="L113" i="19"/>
  <c r="M113" i="19"/>
  <c r="N113" i="19"/>
  <c r="O113" i="19"/>
  <c r="P113" i="19"/>
  <c r="Q113" i="19"/>
  <c r="R113" i="19"/>
  <c r="S113" i="19"/>
  <c r="T113" i="19"/>
  <c r="U113" i="19"/>
  <c r="V113" i="19"/>
  <c r="W113" i="19"/>
  <c r="X113" i="19"/>
  <c r="Y113" i="19"/>
  <c r="Z113" i="19"/>
  <c r="AA113" i="19"/>
  <c r="AB113" i="19"/>
  <c r="AC113" i="19"/>
  <c r="E114" i="19"/>
  <c r="F114" i="19"/>
  <c r="G114" i="19"/>
  <c r="H114" i="19"/>
  <c r="I114" i="19"/>
  <c r="J114" i="19"/>
  <c r="K114" i="19"/>
  <c r="L114" i="19"/>
  <c r="M114" i="19"/>
  <c r="N114" i="19"/>
  <c r="O114" i="19"/>
  <c r="P114" i="19"/>
  <c r="Q114" i="19"/>
  <c r="R114" i="19"/>
  <c r="S114" i="19"/>
  <c r="T114" i="19"/>
  <c r="U114" i="19"/>
  <c r="V114" i="19"/>
  <c r="W114" i="19"/>
  <c r="X114" i="19"/>
  <c r="Y114" i="19"/>
  <c r="Z114" i="19"/>
  <c r="AA114" i="19"/>
  <c r="AB114" i="19"/>
  <c r="AC114" i="19"/>
  <c r="E115" i="19"/>
  <c r="F115" i="19"/>
  <c r="G115" i="19"/>
  <c r="H115" i="19"/>
  <c r="I115" i="19"/>
  <c r="J115" i="19"/>
  <c r="K115" i="19"/>
  <c r="L115" i="19"/>
  <c r="M115" i="19"/>
  <c r="N115" i="19"/>
  <c r="O115" i="19"/>
  <c r="P115" i="19"/>
  <c r="Q115" i="19"/>
  <c r="R115" i="19"/>
  <c r="S115" i="19"/>
  <c r="T115" i="19"/>
  <c r="U115" i="19"/>
  <c r="V115" i="19"/>
  <c r="W115" i="19"/>
  <c r="X115" i="19"/>
  <c r="Y115" i="19"/>
  <c r="Z115" i="19"/>
  <c r="AA115" i="19"/>
  <c r="AB115" i="19"/>
  <c r="AC115" i="19"/>
  <c r="E116" i="19"/>
  <c r="F116" i="19"/>
  <c r="G116" i="19"/>
  <c r="H116" i="19"/>
  <c r="I116" i="19"/>
  <c r="J116" i="19"/>
  <c r="K116" i="19"/>
  <c r="L116" i="19"/>
  <c r="M116" i="19"/>
  <c r="N116" i="19"/>
  <c r="O116" i="19"/>
  <c r="P116" i="19"/>
  <c r="Q116" i="19"/>
  <c r="R116" i="19"/>
  <c r="S116" i="19"/>
  <c r="T116" i="19"/>
  <c r="U116" i="19"/>
  <c r="V116" i="19"/>
  <c r="W116" i="19"/>
  <c r="X116" i="19"/>
  <c r="Y116" i="19"/>
  <c r="Z116" i="19"/>
  <c r="AA116" i="19"/>
  <c r="AB116" i="19"/>
  <c r="AC116" i="19"/>
  <c r="E117" i="19"/>
  <c r="F117" i="19"/>
  <c r="G117" i="19"/>
  <c r="H117" i="19"/>
  <c r="I117" i="19"/>
  <c r="J117" i="19"/>
  <c r="K117" i="19"/>
  <c r="L117" i="19"/>
  <c r="M117" i="19"/>
  <c r="N117" i="19"/>
  <c r="O117" i="19"/>
  <c r="P117" i="19"/>
  <c r="Q117" i="19"/>
  <c r="R117" i="19"/>
  <c r="S117" i="19"/>
  <c r="T117" i="19"/>
  <c r="U117" i="19"/>
  <c r="V117" i="19"/>
  <c r="W117" i="19"/>
  <c r="X117" i="19"/>
  <c r="Y117" i="19"/>
  <c r="Z117" i="19"/>
  <c r="AA117" i="19"/>
  <c r="AB117" i="19"/>
  <c r="AC117" i="19"/>
  <c r="E118" i="19"/>
  <c r="F118" i="19"/>
  <c r="G118" i="19"/>
  <c r="H118" i="19"/>
  <c r="I118" i="19"/>
  <c r="J118" i="19"/>
  <c r="K118" i="19"/>
  <c r="L118" i="19"/>
  <c r="M118" i="19"/>
  <c r="N118" i="19"/>
  <c r="O118" i="19"/>
  <c r="P118" i="19"/>
  <c r="Q118" i="19"/>
  <c r="R118" i="19"/>
  <c r="S118" i="19"/>
  <c r="T118" i="19"/>
  <c r="U118" i="19"/>
  <c r="V118" i="19"/>
  <c r="W118" i="19"/>
  <c r="X118" i="19"/>
  <c r="Y118" i="19"/>
  <c r="Z118" i="19"/>
  <c r="AA118" i="19"/>
  <c r="AB118" i="19"/>
  <c r="AC118" i="19"/>
  <c r="E119" i="19"/>
  <c r="F119" i="19"/>
  <c r="G119" i="19"/>
  <c r="H119" i="19"/>
  <c r="I119" i="19"/>
  <c r="J119" i="19"/>
  <c r="K119" i="19"/>
  <c r="L119" i="19"/>
  <c r="M119" i="19"/>
  <c r="N119" i="19"/>
  <c r="O119" i="19"/>
  <c r="P119" i="19"/>
  <c r="Q119" i="19"/>
  <c r="R119" i="19"/>
  <c r="S119" i="19"/>
  <c r="T119" i="19"/>
  <c r="U119" i="19"/>
  <c r="V119" i="19"/>
  <c r="W119" i="19"/>
  <c r="X119" i="19"/>
  <c r="Y119" i="19"/>
  <c r="Z119" i="19"/>
  <c r="AA119" i="19"/>
  <c r="AB119" i="19"/>
  <c r="AC119" i="19"/>
  <c r="E120" i="19"/>
  <c r="F120" i="19"/>
  <c r="G120" i="19"/>
  <c r="H120" i="19"/>
  <c r="I120" i="19"/>
  <c r="J120" i="19"/>
  <c r="K120" i="19"/>
  <c r="L120" i="19"/>
  <c r="M120" i="19"/>
  <c r="N120" i="19"/>
  <c r="O120" i="19"/>
  <c r="P120" i="19"/>
  <c r="Q120" i="19"/>
  <c r="R120" i="19"/>
  <c r="S120" i="19"/>
  <c r="T120" i="19"/>
  <c r="U120" i="19"/>
  <c r="V120" i="19"/>
  <c r="W120" i="19"/>
  <c r="X120" i="19"/>
  <c r="Y120" i="19"/>
  <c r="Z120" i="19"/>
  <c r="AA120" i="19"/>
  <c r="AB120" i="19"/>
  <c r="AC120" i="19"/>
  <c r="E121" i="19"/>
  <c r="F121" i="19"/>
  <c r="G121" i="19"/>
  <c r="H121" i="19"/>
  <c r="I121" i="19"/>
  <c r="J121" i="19"/>
  <c r="K121" i="19"/>
  <c r="L121" i="19"/>
  <c r="M121" i="19"/>
  <c r="N121" i="19"/>
  <c r="O121" i="19"/>
  <c r="P121" i="19"/>
  <c r="Q121" i="19"/>
  <c r="R121" i="19"/>
  <c r="S121" i="19"/>
  <c r="T121" i="19"/>
  <c r="U121" i="19"/>
  <c r="V121" i="19"/>
  <c r="W121" i="19"/>
  <c r="X121" i="19"/>
  <c r="Y121" i="19"/>
  <c r="Z121" i="19"/>
  <c r="AA121" i="19"/>
  <c r="AB121" i="19"/>
  <c r="AC121" i="19"/>
  <c r="E122" i="19"/>
  <c r="F122" i="19"/>
  <c r="G122" i="19"/>
  <c r="H122" i="19"/>
  <c r="I122" i="19"/>
  <c r="J122" i="19"/>
  <c r="K122" i="19"/>
  <c r="L122" i="19"/>
  <c r="M122" i="19"/>
  <c r="N122" i="19"/>
  <c r="O122" i="19"/>
  <c r="P122" i="19"/>
  <c r="Q122" i="19"/>
  <c r="R122" i="19"/>
  <c r="S122" i="19"/>
  <c r="T122" i="19"/>
  <c r="U122" i="19"/>
  <c r="V122" i="19"/>
  <c r="W122" i="19"/>
  <c r="X122" i="19"/>
  <c r="Y122" i="19"/>
  <c r="Z122" i="19"/>
  <c r="AA122" i="19"/>
  <c r="AB122" i="19"/>
  <c r="AC122" i="19"/>
  <c r="E123" i="19"/>
  <c r="F123" i="19"/>
  <c r="G123" i="19"/>
  <c r="H123" i="19"/>
  <c r="I123" i="19"/>
  <c r="J123" i="19"/>
  <c r="K123" i="19"/>
  <c r="L123" i="19"/>
  <c r="M123" i="19"/>
  <c r="N123" i="19"/>
  <c r="O123" i="19"/>
  <c r="P123" i="19"/>
  <c r="Q123" i="19"/>
  <c r="R123" i="19"/>
  <c r="S123" i="19"/>
  <c r="T123" i="19"/>
  <c r="U123" i="19"/>
  <c r="V123" i="19"/>
  <c r="W123" i="19"/>
  <c r="X123" i="19"/>
  <c r="Y123" i="19"/>
  <c r="Z123" i="19"/>
  <c r="AA123" i="19"/>
  <c r="AB123" i="19"/>
  <c r="AC123" i="19"/>
  <c r="E124" i="19"/>
  <c r="F124" i="19"/>
  <c r="G124" i="19"/>
  <c r="H124" i="19"/>
  <c r="I124" i="19"/>
  <c r="J124" i="19"/>
  <c r="K124" i="19"/>
  <c r="L124" i="19"/>
  <c r="M124" i="19"/>
  <c r="N124" i="19"/>
  <c r="O124" i="19"/>
  <c r="P124" i="19"/>
  <c r="Q124" i="19"/>
  <c r="R124" i="19"/>
  <c r="S124" i="19"/>
  <c r="T124" i="19"/>
  <c r="U124" i="19"/>
  <c r="V124" i="19"/>
  <c r="W124" i="19"/>
  <c r="X124" i="19"/>
  <c r="Y124" i="19"/>
  <c r="Z124" i="19"/>
  <c r="AA124" i="19"/>
  <c r="AB124" i="19"/>
  <c r="AC124" i="19"/>
  <c r="E125" i="19"/>
  <c r="F125" i="19"/>
  <c r="G125" i="19"/>
  <c r="H125" i="19"/>
  <c r="I125" i="19"/>
  <c r="J125" i="19"/>
  <c r="K125" i="19"/>
  <c r="L125" i="19"/>
  <c r="M125" i="19"/>
  <c r="N125" i="19"/>
  <c r="O125" i="19"/>
  <c r="P125" i="19"/>
  <c r="Q125" i="19"/>
  <c r="R125" i="19"/>
  <c r="S125" i="19"/>
  <c r="T125" i="19"/>
  <c r="U125" i="19"/>
  <c r="V125" i="19"/>
  <c r="W125" i="19"/>
  <c r="X125" i="19"/>
  <c r="Y125" i="19"/>
  <c r="Z125" i="19"/>
  <c r="AA125" i="19"/>
  <c r="AB125" i="19"/>
  <c r="AC125" i="19"/>
  <c r="E126" i="19"/>
  <c r="F126" i="19"/>
  <c r="G126" i="19"/>
  <c r="H126" i="19"/>
  <c r="I126" i="19"/>
  <c r="J126" i="19"/>
  <c r="K126" i="19"/>
  <c r="L126" i="19"/>
  <c r="M126" i="19"/>
  <c r="N126" i="19"/>
  <c r="O126" i="19"/>
  <c r="P126" i="19"/>
  <c r="Q126" i="19"/>
  <c r="R126" i="19"/>
  <c r="S126" i="19"/>
  <c r="T126" i="19"/>
  <c r="U126" i="19"/>
  <c r="V126" i="19"/>
  <c r="W126" i="19"/>
  <c r="X126" i="19"/>
  <c r="Y126" i="19"/>
  <c r="Z126" i="19"/>
  <c r="AA126" i="19"/>
  <c r="AB126" i="19"/>
  <c r="AC126" i="19"/>
  <c r="E127" i="19"/>
  <c r="F127" i="19"/>
  <c r="G127" i="19"/>
  <c r="H127" i="19"/>
  <c r="I127" i="19"/>
  <c r="J127" i="19"/>
  <c r="K127" i="19"/>
  <c r="L127" i="19"/>
  <c r="M127" i="19"/>
  <c r="N127" i="19"/>
  <c r="O127" i="19"/>
  <c r="P127" i="19"/>
  <c r="Q127" i="19"/>
  <c r="R127" i="19"/>
  <c r="S127" i="19"/>
  <c r="T127" i="19"/>
  <c r="U127" i="19"/>
  <c r="V127" i="19"/>
  <c r="W127" i="19"/>
  <c r="X127" i="19"/>
  <c r="Y127" i="19"/>
  <c r="Z127" i="19"/>
  <c r="AA127" i="19"/>
  <c r="AB127" i="19"/>
  <c r="AC127" i="19"/>
  <c r="E128" i="19"/>
  <c r="F128" i="19"/>
  <c r="G128" i="19"/>
  <c r="H128" i="19"/>
  <c r="I128" i="19"/>
  <c r="J128" i="19"/>
  <c r="K128" i="19"/>
  <c r="L128" i="19"/>
  <c r="M128" i="19"/>
  <c r="N128" i="19"/>
  <c r="O128" i="19"/>
  <c r="P128" i="19"/>
  <c r="Q128" i="19"/>
  <c r="R128" i="19"/>
  <c r="S128" i="19"/>
  <c r="T128" i="19"/>
  <c r="U128" i="19"/>
  <c r="V128" i="19"/>
  <c r="W128" i="19"/>
  <c r="X128" i="19"/>
  <c r="Y128" i="19"/>
  <c r="Z128" i="19"/>
  <c r="AA128" i="19"/>
  <c r="AB128" i="19"/>
  <c r="AC128" i="19"/>
  <c r="E129" i="19"/>
  <c r="F129" i="19"/>
  <c r="G129" i="19"/>
  <c r="H129" i="19"/>
  <c r="I129" i="19"/>
  <c r="J129" i="19"/>
  <c r="K129" i="19"/>
  <c r="L129" i="19"/>
  <c r="M129" i="19"/>
  <c r="N129" i="19"/>
  <c r="O129" i="19"/>
  <c r="P129" i="19"/>
  <c r="Q129" i="19"/>
  <c r="R129" i="19"/>
  <c r="S129" i="19"/>
  <c r="T129" i="19"/>
  <c r="U129" i="19"/>
  <c r="V129" i="19"/>
  <c r="W129" i="19"/>
  <c r="X129" i="19"/>
  <c r="Y129" i="19"/>
  <c r="Z129" i="19"/>
  <c r="AA129" i="19"/>
  <c r="AB129" i="19"/>
  <c r="AC129" i="19"/>
  <c r="E130" i="19"/>
  <c r="F130" i="19"/>
  <c r="G130" i="19"/>
  <c r="H130" i="19"/>
  <c r="I130" i="19"/>
  <c r="J130" i="19"/>
  <c r="K130" i="19"/>
  <c r="L130" i="19"/>
  <c r="M130" i="19"/>
  <c r="N130" i="19"/>
  <c r="O130" i="19"/>
  <c r="P130" i="19"/>
  <c r="Q130" i="19"/>
  <c r="R130" i="19"/>
  <c r="S130" i="19"/>
  <c r="T130" i="19"/>
  <c r="U130" i="19"/>
  <c r="V130" i="19"/>
  <c r="W130" i="19"/>
  <c r="X130" i="19"/>
  <c r="Y130" i="19"/>
  <c r="Z130" i="19"/>
  <c r="AA130" i="19"/>
  <c r="AB130" i="19"/>
  <c r="AC130" i="19"/>
  <c r="E131" i="19"/>
  <c r="F131" i="19"/>
  <c r="G131" i="19"/>
  <c r="H131" i="19"/>
  <c r="I131" i="19"/>
  <c r="J131" i="19"/>
  <c r="K131" i="19"/>
  <c r="L131" i="19"/>
  <c r="M131" i="19"/>
  <c r="N131" i="19"/>
  <c r="O131" i="19"/>
  <c r="P131" i="19"/>
  <c r="Q131" i="19"/>
  <c r="R131" i="19"/>
  <c r="S131" i="19"/>
  <c r="T131" i="19"/>
  <c r="U131" i="19"/>
  <c r="V131" i="19"/>
  <c r="W131" i="19"/>
  <c r="X131" i="19"/>
  <c r="Y131" i="19"/>
  <c r="Z131" i="19"/>
  <c r="AA131" i="19"/>
  <c r="AB131" i="19"/>
  <c r="AC131" i="19"/>
  <c r="E132" i="19"/>
  <c r="F132" i="19"/>
  <c r="G132" i="19"/>
  <c r="H132" i="19"/>
  <c r="I132" i="19"/>
  <c r="J132" i="19"/>
  <c r="K132" i="19"/>
  <c r="L132" i="19"/>
  <c r="M132" i="19"/>
  <c r="N132" i="19"/>
  <c r="O132" i="19"/>
  <c r="P132" i="19"/>
  <c r="Q132" i="19"/>
  <c r="R132" i="19"/>
  <c r="S132" i="19"/>
  <c r="T132" i="19"/>
  <c r="U132" i="19"/>
  <c r="V132" i="19"/>
  <c r="W132" i="19"/>
  <c r="X132" i="19"/>
  <c r="Y132" i="19"/>
  <c r="Z132" i="19"/>
  <c r="AA132" i="19"/>
  <c r="AB132" i="19"/>
  <c r="AC132" i="19"/>
  <c r="E133" i="19"/>
  <c r="F133" i="19"/>
  <c r="G133" i="19"/>
  <c r="H133" i="19"/>
  <c r="I133" i="19"/>
  <c r="J133" i="19"/>
  <c r="K133" i="19"/>
  <c r="L133" i="19"/>
  <c r="M133" i="19"/>
  <c r="N133" i="19"/>
  <c r="O133" i="19"/>
  <c r="P133" i="19"/>
  <c r="Q133" i="19"/>
  <c r="R133" i="19"/>
  <c r="S133" i="19"/>
  <c r="T133" i="19"/>
  <c r="U133" i="19"/>
  <c r="V133" i="19"/>
  <c r="W133" i="19"/>
  <c r="X133" i="19"/>
  <c r="Y133" i="19"/>
  <c r="Z133" i="19"/>
  <c r="AA133" i="19"/>
  <c r="AB133" i="19"/>
  <c r="AC133" i="19"/>
  <c r="E134" i="19"/>
  <c r="F134" i="19"/>
  <c r="G134" i="19"/>
  <c r="H134" i="19"/>
  <c r="I134" i="19"/>
  <c r="J134" i="19"/>
  <c r="K134" i="19"/>
  <c r="L134" i="19"/>
  <c r="M134" i="19"/>
  <c r="N134" i="19"/>
  <c r="O134" i="19"/>
  <c r="P134" i="19"/>
  <c r="Q134" i="19"/>
  <c r="R134" i="19"/>
  <c r="S134" i="19"/>
  <c r="T134" i="19"/>
  <c r="U134" i="19"/>
  <c r="V134" i="19"/>
  <c r="W134" i="19"/>
  <c r="X134" i="19"/>
  <c r="Y134" i="19"/>
  <c r="Z134" i="19"/>
  <c r="AA134" i="19"/>
  <c r="AB134" i="19"/>
  <c r="AC134" i="19"/>
  <c r="E135" i="19"/>
  <c r="F135" i="19"/>
  <c r="G135" i="19"/>
  <c r="H135" i="19"/>
  <c r="I135" i="19"/>
  <c r="J135" i="19"/>
  <c r="K135" i="19"/>
  <c r="L135" i="19"/>
  <c r="M135" i="19"/>
  <c r="N135" i="19"/>
  <c r="O135" i="19"/>
  <c r="P135" i="19"/>
  <c r="Q135" i="19"/>
  <c r="R135" i="19"/>
  <c r="S135" i="19"/>
  <c r="T135" i="19"/>
  <c r="U135" i="19"/>
  <c r="V135" i="19"/>
  <c r="W135" i="19"/>
  <c r="X135" i="19"/>
  <c r="Y135" i="19"/>
  <c r="Z135" i="19"/>
  <c r="AA135" i="19"/>
  <c r="AB135" i="19"/>
  <c r="AC135" i="19"/>
  <c r="E136" i="19"/>
  <c r="F136" i="19"/>
  <c r="G136" i="19"/>
  <c r="H136" i="19"/>
  <c r="I136" i="19"/>
  <c r="J136" i="19"/>
  <c r="K136" i="19"/>
  <c r="L136" i="19"/>
  <c r="M136" i="19"/>
  <c r="N136" i="19"/>
  <c r="O136" i="19"/>
  <c r="P136" i="19"/>
  <c r="Q136" i="19"/>
  <c r="R136" i="19"/>
  <c r="S136" i="19"/>
  <c r="T136" i="19"/>
  <c r="U136" i="19"/>
  <c r="V136" i="19"/>
  <c r="W136" i="19"/>
  <c r="X136" i="19"/>
  <c r="Y136" i="19"/>
  <c r="Z136" i="19"/>
  <c r="AA136" i="19"/>
  <c r="AB136" i="19"/>
  <c r="AC136" i="19"/>
  <c r="E137" i="19"/>
  <c r="F137" i="19"/>
  <c r="G137" i="19"/>
  <c r="H137" i="19"/>
  <c r="I137" i="19"/>
  <c r="J137" i="19"/>
  <c r="K137" i="19"/>
  <c r="L137" i="19"/>
  <c r="M137" i="19"/>
  <c r="N137" i="19"/>
  <c r="O137" i="19"/>
  <c r="P137" i="19"/>
  <c r="Q137" i="19"/>
  <c r="R137" i="19"/>
  <c r="S137" i="19"/>
  <c r="T137" i="19"/>
  <c r="U137" i="19"/>
  <c r="V137" i="19"/>
  <c r="W137" i="19"/>
  <c r="X137" i="19"/>
  <c r="Y137" i="19"/>
  <c r="Z137" i="19"/>
  <c r="AA137" i="19"/>
  <c r="AB137" i="19"/>
  <c r="AC137" i="19"/>
  <c r="E138" i="19"/>
  <c r="F138" i="19"/>
  <c r="G138" i="19"/>
  <c r="H138" i="19"/>
  <c r="I138" i="19"/>
  <c r="J138" i="19"/>
  <c r="K138" i="19"/>
  <c r="L138" i="19"/>
  <c r="M138" i="19"/>
  <c r="N138" i="19"/>
  <c r="O138" i="19"/>
  <c r="P138" i="19"/>
  <c r="Q138" i="19"/>
  <c r="R138" i="19"/>
  <c r="S138" i="19"/>
  <c r="T138" i="19"/>
  <c r="U138" i="19"/>
  <c r="V138" i="19"/>
  <c r="W138" i="19"/>
  <c r="X138" i="19"/>
  <c r="Y138" i="19"/>
  <c r="Z138" i="19"/>
  <c r="AA138" i="19"/>
  <c r="AB138" i="19"/>
  <c r="AC138" i="19"/>
  <c r="E139" i="19"/>
  <c r="F139" i="19"/>
  <c r="G139" i="19"/>
  <c r="H139" i="19"/>
  <c r="I139" i="19"/>
  <c r="J139" i="19"/>
  <c r="K139" i="19"/>
  <c r="L139" i="19"/>
  <c r="M139" i="19"/>
  <c r="N139" i="19"/>
  <c r="O139" i="19"/>
  <c r="P139" i="19"/>
  <c r="Q139" i="19"/>
  <c r="R139" i="19"/>
  <c r="S139" i="19"/>
  <c r="T139" i="19"/>
  <c r="U139" i="19"/>
  <c r="V139" i="19"/>
  <c r="W139" i="19"/>
  <c r="X139" i="19"/>
  <c r="Y139" i="19"/>
  <c r="Z139" i="19"/>
  <c r="AA139" i="19"/>
  <c r="AB139" i="19"/>
  <c r="AC139" i="19"/>
  <c r="E140" i="19"/>
  <c r="F140" i="19"/>
  <c r="G140" i="19"/>
  <c r="H140" i="19"/>
  <c r="I140" i="19"/>
  <c r="J140" i="19"/>
  <c r="K140" i="19"/>
  <c r="L140" i="19"/>
  <c r="M140" i="19"/>
  <c r="N140" i="19"/>
  <c r="O140" i="19"/>
  <c r="P140" i="19"/>
  <c r="Q140" i="19"/>
  <c r="R140" i="19"/>
  <c r="S140" i="19"/>
  <c r="T140" i="19"/>
  <c r="U140" i="19"/>
  <c r="V140" i="19"/>
  <c r="W140" i="19"/>
  <c r="X140" i="19"/>
  <c r="Y140" i="19"/>
  <c r="Z140" i="19"/>
  <c r="AA140" i="19"/>
  <c r="AB140" i="19"/>
  <c r="AC140" i="19"/>
  <c r="E141" i="19"/>
  <c r="F141" i="19"/>
  <c r="G141" i="19"/>
  <c r="H141" i="19"/>
  <c r="I141" i="19"/>
  <c r="J141" i="19"/>
  <c r="K141" i="19"/>
  <c r="L141" i="19"/>
  <c r="M141" i="19"/>
  <c r="N141" i="19"/>
  <c r="O141" i="19"/>
  <c r="P141" i="19"/>
  <c r="Q141" i="19"/>
  <c r="R141" i="19"/>
  <c r="S141" i="19"/>
  <c r="T141" i="19"/>
  <c r="U141" i="19"/>
  <c r="V141" i="19"/>
  <c r="W141" i="19"/>
  <c r="X141" i="19"/>
  <c r="Y141" i="19"/>
  <c r="Z141" i="19"/>
  <c r="AA141" i="19"/>
  <c r="AB141" i="19"/>
  <c r="AC141" i="19"/>
  <c r="E142" i="19"/>
  <c r="F142" i="19"/>
  <c r="G142" i="19"/>
  <c r="H142" i="19"/>
  <c r="I142" i="19"/>
  <c r="J142" i="19"/>
  <c r="K142" i="19"/>
  <c r="L142" i="19"/>
  <c r="M142" i="19"/>
  <c r="N142" i="19"/>
  <c r="O142" i="19"/>
  <c r="P142" i="19"/>
  <c r="Q142" i="19"/>
  <c r="R142" i="19"/>
  <c r="S142" i="19"/>
  <c r="T142" i="19"/>
  <c r="U142" i="19"/>
  <c r="V142" i="19"/>
  <c r="W142" i="19"/>
  <c r="X142" i="19"/>
  <c r="Y142" i="19"/>
  <c r="Z142" i="19"/>
  <c r="AA142" i="19"/>
  <c r="AB142" i="19"/>
  <c r="AC142" i="19"/>
  <c r="E143" i="19"/>
  <c r="F143" i="19"/>
  <c r="G143" i="19"/>
  <c r="H143" i="19"/>
  <c r="I143" i="19"/>
  <c r="J143" i="19"/>
  <c r="K143" i="19"/>
  <c r="L143" i="19"/>
  <c r="M143" i="19"/>
  <c r="N143" i="19"/>
  <c r="O143" i="19"/>
  <c r="P143" i="19"/>
  <c r="Q143" i="19"/>
  <c r="R143" i="19"/>
  <c r="S143" i="19"/>
  <c r="T143" i="19"/>
  <c r="U143" i="19"/>
  <c r="V143" i="19"/>
  <c r="W143" i="19"/>
  <c r="X143" i="19"/>
  <c r="Y143" i="19"/>
  <c r="Z143" i="19"/>
  <c r="AA143" i="19"/>
  <c r="AB143" i="19"/>
  <c r="AC143" i="19"/>
  <c r="E144" i="19"/>
  <c r="F144" i="19"/>
  <c r="G144" i="19"/>
  <c r="H144" i="19"/>
  <c r="I144" i="19"/>
  <c r="J144" i="19"/>
  <c r="K144" i="19"/>
  <c r="L144" i="19"/>
  <c r="M144" i="19"/>
  <c r="N144" i="19"/>
  <c r="O144" i="19"/>
  <c r="P144" i="19"/>
  <c r="Q144" i="19"/>
  <c r="R144" i="19"/>
  <c r="S144" i="19"/>
  <c r="T144" i="19"/>
  <c r="U144" i="19"/>
  <c r="V144" i="19"/>
  <c r="W144" i="19"/>
  <c r="X144" i="19"/>
  <c r="Y144" i="19"/>
  <c r="Z144" i="19"/>
  <c r="AA144" i="19"/>
  <c r="AB144" i="19"/>
  <c r="AC144" i="19"/>
  <c r="E145" i="19"/>
  <c r="F145" i="19"/>
  <c r="G145" i="19"/>
  <c r="H145" i="19"/>
  <c r="I145" i="19"/>
  <c r="J145" i="19"/>
  <c r="K145" i="19"/>
  <c r="L145" i="19"/>
  <c r="M145" i="19"/>
  <c r="N145" i="19"/>
  <c r="O145" i="19"/>
  <c r="P145" i="19"/>
  <c r="Q145" i="19"/>
  <c r="R145" i="19"/>
  <c r="S145" i="19"/>
  <c r="T145" i="19"/>
  <c r="U145" i="19"/>
  <c r="V145" i="19"/>
  <c r="W145" i="19"/>
  <c r="X145" i="19"/>
  <c r="Y145" i="19"/>
  <c r="Z145" i="19"/>
  <c r="AA145" i="19"/>
  <c r="AB145" i="19"/>
  <c r="AC145" i="19"/>
  <c r="E146" i="19"/>
  <c r="F146" i="19"/>
  <c r="G146" i="19"/>
  <c r="H146" i="19"/>
  <c r="I146" i="19"/>
  <c r="J146" i="19"/>
  <c r="K146" i="19"/>
  <c r="L146" i="19"/>
  <c r="M146" i="19"/>
  <c r="N146" i="19"/>
  <c r="O146" i="19"/>
  <c r="P146" i="19"/>
  <c r="Q146" i="19"/>
  <c r="R146" i="19"/>
  <c r="S146" i="19"/>
  <c r="T146" i="19"/>
  <c r="U146" i="19"/>
  <c r="V146" i="19"/>
  <c r="W146" i="19"/>
  <c r="X146" i="19"/>
  <c r="Y146" i="19"/>
  <c r="Z146" i="19"/>
  <c r="AA146" i="19"/>
  <c r="AB146" i="19"/>
  <c r="AC146" i="19"/>
  <c r="E147" i="19"/>
  <c r="F147" i="19"/>
  <c r="G147" i="19"/>
  <c r="H147" i="19"/>
  <c r="I147" i="19"/>
  <c r="J147" i="19"/>
  <c r="K147" i="19"/>
  <c r="L147" i="19"/>
  <c r="M147" i="19"/>
  <c r="N147" i="19"/>
  <c r="O147" i="19"/>
  <c r="P147" i="19"/>
  <c r="Q147" i="19"/>
  <c r="R147" i="19"/>
  <c r="S147" i="19"/>
  <c r="T147" i="19"/>
  <c r="U147" i="19"/>
  <c r="V147" i="19"/>
  <c r="W147" i="19"/>
  <c r="X147" i="19"/>
  <c r="Y147" i="19"/>
  <c r="Z147" i="19"/>
  <c r="AA147" i="19"/>
  <c r="AB147" i="19"/>
  <c r="AC147" i="19"/>
  <c r="E148" i="19"/>
  <c r="F148" i="19"/>
  <c r="G148" i="19"/>
  <c r="H148" i="19"/>
  <c r="I148" i="19"/>
  <c r="J148" i="19"/>
  <c r="K148" i="19"/>
  <c r="L148" i="19"/>
  <c r="M148" i="19"/>
  <c r="N148" i="19"/>
  <c r="O148" i="19"/>
  <c r="P148" i="19"/>
  <c r="Q148" i="19"/>
  <c r="R148" i="19"/>
  <c r="S148" i="19"/>
  <c r="T148" i="19"/>
  <c r="U148" i="19"/>
  <c r="V148" i="19"/>
  <c r="W148" i="19"/>
  <c r="X148" i="19"/>
  <c r="Y148" i="19"/>
  <c r="Z148" i="19"/>
  <c r="AA148" i="19"/>
  <c r="AB148" i="19"/>
  <c r="AC148" i="19"/>
  <c r="E149" i="19"/>
  <c r="F149" i="19"/>
  <c r="G149" i="19"/>
  <c r="H149" i="19"/>
  <c r="I149" i="19"/>
  <c r="J149" i="19"/>
  <c r="K149" i="19"/>
  <c r="L149" i="19"/>
  <c r="M149" i="19"/>
  <c r="N149" i="19"/>
  <c r="O149" i="19"/>
  <c r="P149" i="19"/>
  <c r="Q149" i="19"/>
  <c r="R149" i="19"/>
  <c r="S149" i="19"/>
  <c r="T149" i="19"/>
  <c r="U149" i="19"/>
  <c r="V149" i="19"/>
  <c r="W149" i="19"/>
  <c r="X149" i="19"/>
  <c r="Y149" i="19"/>
  <c r="Z149" i="19"/>
  <c r="AA149" i="19"/>
  <c r="AB149" i="19"/>
  <c r="AC149" i="19"/>
  <c r="E150" i="19"/>
  <c r="F150" i="19"/>
  <c r="G150" i="19"/>
  <c r="H150" i="19"/>
  <c r="I150" i="19"/>
  <c r="J150" i="19"/>
  <c r="K150" i="19"/>
  <c r="L150" i="19"/>
  <c r="M150" i="19"/>
  <c r="N150" i="19"/>
  <c r="O150" i="19"/>
  <c r="P150" i="19"/>
  <c r="Q150" i="19"/>
  <c r="R150" i="19"/>
  <c r="S150" i="19"/>
  <c r="T150" i="19"/>
  <c r="U150" i="19"/>
  <c r="V150" i="19"/>
  <c r="W150" i="19"/>
  <c r="X150" i="19"/>
  <c r="Y150" i="19"/>
  <c r="Z150" i="19"/>
  <c r="AA150" i="19"/>
  <c r="AB150" i="19"/>
  <c r="AC150" i="19"/>
  <c r="E151" i="19"/>
  <c r="F151" i="19"/>
  <c r="G151" i="19"/>
  <c r="H151" i="19"/>
  <c r="I151" i="19"/>
  <c r="J151" i="19"/>
  <c r="K151" i="19"/>
  <c r="L151" i="19"/>
  <c r="M151" i="19"/>
  <c r="N151" i="19"/>
  <c r="O151" i="19"/>
  <c r="P151" i="19"/>
  <c r="Q151" i="19"/>
  <c r="R151" i="19"/>
  <c r="S151" i="19"/>
  <c r="T151" i="19"/>
  <c r="U151" i="19"/>
  <c r="V151" i="19"/>
  <c r="W151" i="19"/>
  <c r="X151" i="19"/>
  <c r="Y151" i="19"/>
  <c r="Z151" i="19"/>
  <c r="AA151" i="19"/>
  <c r="AB151" i="19"/>
  <c r="AC151" i="19"/>
  <c r="E152" i="19"/>
  <c r="F152" i="19"/>
  <c r="G152" i="19"/>
  <c r="H152" i="19"/>
  <c r="I152" i="19"/>
  <c r="J152" i="19"/>
  <c r="K152" i="19"/>
  <c r="L152" i="19"/>
  <c r="M152" i="19"/>
  <c r="N152" i="19"/>
  <c r="O152" i="19"/>
  <c r="P152" i="19"/>
  <c r="Q152" i="19"/>
  <c r="R152" i="19"/>
  <c r="S152" i="19"/>
  <c r="T152" i="19"/>
  <c r="U152" i="19"/>
  <c r="V152" i="19"/>
  <c r="W152" i="19"/>
  <c r="X152" i="19"/>
  <c r="Y152" i="19"/>
  <c r="Z152" i="19"/>
  <c r="AA152" i="19"/>
  <c r="AB152" i="19"/>
  <c r="AC152" i="19"/>
  <c r="E153" i="19"/>
  <c r="F153" i="19"/>
  <c r="G153" i="19"/>
  <c r="H153" i="19"/>
  <c r="I153" i="19"/>
  <c r="J153" i="19"/>
  <c r="K153" i="19"/>
  <c r="L153" i="19"/>
  <c r="M153" i="19"/>
  <c r="N153" i="19"/>
  <c r="O153" i="19"/>
  <c r="P153" i="19"/>
  <c r="Q153" i="19"/>
  <c r="R153" i="19"/>
  <c r="S153" i="19"/>
  <c r="T153" i="19"/>
  <c r="U153" i="19"/>
  <c r="V153" i="19"/>
  <c r="W153" i="19"/>
  <c r="X153" i="19"/>
  <c r="Y153" i="19"/>
  <c r="Z153" i="19"/>
  <c r="AA153" i="19"/>
  <c r="AB153" i="19"/>
  <c r="AC153" i="19"/>
  <c r="E154" i="19"/>
  <c r="F154" i="19"/>
  <c r="G154" i="19"/>
  <c r="H154" i="19"/>
  <c r="I154" i="19"/>
  <c r="J154" i="19"/>
  <c r="K154" i="19"/>
  <c r="L154" i="19"/>
  <c r="M154" i="19"/>
  <c r="N154" i="19"/>
  <c r="O154" i="19"/>
  <c r="P154" i="19"/>
  <c r="Q154" i="19"/>
  <c r="R154" i="19"/>
  <c r="S154" i="19"/>
  <c r="T154" i="19"/>
  <c r="U154" i="19"/>
  <c r="V154" i="19"/>
  <c r="W154" i="19"/>
  <c r="X154" i="19"/>
  <c r="Y154" i="19"/>
  <c r="Z154" i="19"/>
  <c r="AA154" i="19"/>
  <c r="AB154" i="19"/>
  <c r="AC154" i="19"/>
  <c r="E155" i="19"/>
  <c r="F155" i="19"/>
  <c r="G155" i="19"/>
  <c r="H155" i="19"/>
  <c r="I155" i="19"/>
  <c r="J155" i="19"/>
  <c r="K155" i="19"/>
  <c r="L155" i="19"/>
  <c r="M155" i="19"/>
  <c r="N155" i="19"/>
  <c r="O155" i="19"/>
  <c r="P155" i="19"/>
  <c r="Q155" i="19"/>
  <c r="R155" i="19"/>
  <c r="S155" i="19"/>
  <c r="T155" i="19"/>
  <c r="U155" i="19"/>
  <c r="V155" i="19"/>
  <c r="W155" i="19"/>
  <c r="X155" i="19"/>
  <c r="Y155" i="19"/>
  <c r="Z155" i="19"/>
  <c r="AA155" i="19"/>
  <c r="AB155" i="19"/>
  <c r="AC155" i="19"/>
  <c r="E156" i="19"/>
  <c r="F156" i="19"/>
  <c r="G156" i="19"/>
  <c r="H156" i="19"/>
  <c r="I156" i="19"/>
  <c r="J156" i="19"/>
  <c r="K156" i="19"/>
  <c r="L156" i="19"/>
  <c r="M156" i="19"/>
  <c r="N156" i="19"/>
  <c r="O156" i="19"/>
  <c r="P156" i="19"/>
  <c r="Q156" i="19"/>
  <c r="R156" i="19"/>
  <c r="S156" i="19"/>
  <c r="T156" i="19"/>
  <c r="U156" i="19"/>
  <c r="V156" i="19"/>
  <c r="W156" i="19"/>
  <c r="X156" i="19"/>
  <c r="Y156" i="19"/>
  <c r="Z156" i="19"/>
  <c r="AA156" i="19"/>
  <c r="AB156" i="19"/>
  <c r="AC156" i="19"/>
  <c r="E157" i="19"/>
  <c r="F157" i="19"/>
  <c r="G157" i="19"/>
  <c r="H157" i="19"/>
  <c r="I157" i="19"/>
  <c r="J157" i="19"/>
  <c r="K157" i="19"/>
  <c r="L157" i="19"/>
  <c r="M157" i="19"/>
  <c r="N157" i="19"/>
  <c r="O157" i="19"/>
  <c r="P157" i="19"/>
  <c r="Q157" i="19"/>
  <c r="R157" i="19"/>
  <c r="S157" i="19"/>
  <c r="T157" i="19"/>
  <c r="U157" i="19"/>
  <c r="V157" i="19"/>
  <c r="W157" i="19"/>
  <c r="X157" i="19"/>
  <c r="Y157" i="19"/>
  <c r="Z157" i="19"/>
  <c r="AA157" i="19"/>
  <c r="AB157" i="19"/>
  <c r="AC157" i="19"/>
  <c r="E158" i="19"/>
  <c r="F158" i="19"/>
  <c r="G158" i="19"/>
  <c r="H158" i="19"/>
  <c r="I158" i="19"/>
  <c r="J158" i="19"/>
  <c r="K158" i="19"/>
  <c r="L158" i="19"/>
  <c r="M158" i="19"/>
  <c r="N158" i="19"/>
  <c r="O158" i="19"/>
  <c r="P158" i="19"/>
  <c r="Q158" i="19"/>
  <c r="R158" i="19"/>
  <c r="S158" i="19"/>
  <c r="T158" i="19"/>
  <c r="U158" i="19"/>
  <c r="V158" i="19"/>
  <c r="W158" i="19"/>
  <c r="X158" i="19"/>
  <c r="Y158" i="19"/>
  <c r="Z158" i="19"/>
  <c r="AA158" i="19"/>
  <c r="AB158" i="19"/>
  <c r="AC158" i="19"/>
  <c r="E159" i="19"/>
  <c r="F159" i="19"/>
  <c r="G159" i="19"/>
  <c r="H159" i="19"/>
  <c r="I159" i="19"/>
  <c r="J159" i="19"/>
  <c r="K159" i="19"/>
  <c r="L159" i="19"/>
  <c r="M159" i="19"/>
  <c r="N159" i="19"/>
  <c r="O159" i="19"/>
  <c r="P159" i="19"/>
  <c r="Q159" i="19"/>
  <c r="R159" i="19"/>
  <c r="S159" i="19"/>
  <c r="T159" i="19"/>
  <c r="U159" i="19"/>
  <c r="V159" i="19"/>
  <c r="W159" i="19"/>
  <c r="X159" i="19"/>
  <c r="Y159" i="19"/>
  <c r="Z159" i="19"/>
  <c r="AA159" i="19"/>
  <c r="AB159" i="19"/>
  <c r="AC159" i="19"/>
  <c r="E160" i="19"/>
  <c r="F160" i="19"/>
  <c r="G160" i="19"/>
  <c r="H160" i="19"/>
  <c r="I160" i="19"/>
  <c r="J160" i="19"/>
  <c r="K160" i="19"/>
  <c r="L160" i="19"/>
  <c r="M160" i="19"/>
  <c r="N160" i="19"/>
  <c r="O160" i="19"/>
  <c r="P160" i="19"/>
  <c r="Q160" i="19"/>
  <c r="R160" i="19"/>
  <c r="S160" i="19"/>
  <c r="T160" i="19"/>
  <c r="U160" i="19"/>
  <c r="V160" i="19"/>
  <c r="W160" i="19"/>
  <c r="X160" i="19"/>
  <c r="Y160" i="19"/>
  <c r="Z160" i="19"/>
  <c r="AA160" i="19"/>
  <c r="AB160" i="19"/>
  <c r="AC160" i="19"/>
  <c r="E161" i="19"/>
  <c r="F161" i="19"/>
  <c r="G161" i="19"/>
  <c r="H161" i="19"/>
  <c r="I161" i="19"/>
  <c r="J161" i="19"/>
  <c r="K161" i="19"/>
  <c r="L161" i="19"/>
  <c r="M161" i="19"/>
  <c r="N161" i="19"/>
  <c r="O161" i="19"/>
  <c r="P161" i="19"/>
  <c r="Q161" i="19"/>
  <c r="R161" i="19"/>
  <c r="S161" i="19"/>
  <c r="T161" i="19"/>
  <c r="U161" i="19"/>
  <c r="V161" i="19"/>
  <c r="W161" i="19"/>
  <c r="X161" i="19"/>
  <c r="Y161" i="19"/>
  <c r="Z161" i="19"/>
  <c r="AA161" i="19"/>
  <c r="AB161" i="19"/>
  <c r="AC161" i="19"/>
  <c r="E162" i="19"/>
  <c r="F162" i="19"/>
  <c r="G162" i="19"/>
  <c r="H162" i="19"/>
  <c r="I162" i="19"/>
  <c r="J162" i="19"/>
  <c r="K162" i="19"/>
  <c r="L162" i="19"/>
  <c r="M162" i="19"/>
  <c r="N162" i="19"/>
  <c r="O162" i="19"/>
  <c r="P162" i="19"/>
  <c r="Q162" i="19"/>
  <c r="R162" i="19"/>
  <c r="S162" i="19"/>
  <c r="T162" i="19"/>
  <c r="U162" i="19"/>
  <c r="V162" i="19"/>
  <c r="W162" i="19"/>
  <c r="X162" i="19"/>
  <c r="Y162" i="19"/>
  <c r="Z162" i="19"/>
  <c r="AA162" i="19"/>
  <c r="AB162" i="19"/>
  <c r="AC162" i="19"/>
  <c r="E163" i="19"/>
  <c r="F163" i="19"/>
  <c r="G163" i="19"/>
  <c r="H163" i="19"/>
  <c r="I163" i="19"/>
  <c r="J163" i="19"/>
  <c r="K163" i="19"/>
  <c r="L163" i="19"/>
  <c r="M163" i="19"/>
  <c r="N163" i="19"/>
  <c r="O163" i="19"/>
  <c r="P163" i="19"/>
  <c r="Q163" i="19"/>
  <c r="R163" i="19"/>
  <c r="S163" i="19"/>
  <c r="T163" i="19"/>
  <c r="U163" i="19"/>
  <c r="V163" i="19"/>
  <c r="W163" i="19"/>
  <c r="X163" i="19"/>
  <c r="Y163" i="19"/>
  <c r="Z163" i="19"/>
  <c r="AA163" i="19"/>
  <c r="AB163" i="19"/>
  <c r="AC163" i="19"/>
  <c r="E164" i="19"/>
  <c r="F164" i="19"/>
  <c r="G164" i="19"/>
  <c r="H164" i="19"/>
  <c r="I164" i="19"/>
  <c r="J164" i="19"/>
  <c r="K164" i="19"/>
  <c r="L164" i="19"/>
  <c r="M164" i="19"/>
  <c r="N164" i="19"/>
  <c r="O164" i="19"/>
  <c r="P164" i="19"/>
  <c r="Q164" i="19"/>
  <c r="R164" i="19"/>
  <c r="S164" i="19"/>
  <c r="T164" i="19"/>
  <c r="U164" i="19"/>
  <c r="V164" i="19"/>
  <c r="W164" i="19"/>
  <c r="X164" i="19"/>
  <c r="Y164" i="19"/>
  <c r="Z164" i="19"/>
  <c r="AA164" i="19"/>
  <c r="AB164" i="19"/>
  <c r="AC164" i="19"/>
  <c r="E165" i="19"/>
  <c r="F165" i="19"/>
  <c r="G165" i="19"/>
  <c r="H165" i="19"/>
  <c r="I165" i="19"/>
  <c r="J165" i="19"/>
  <c r="K165" i="19"/>
  <c r="L165" i="19"/>
  <c r="M165" i="19"/>
  <c r="N165" i="19"/>
  <c r="O165" i="19"/>
  <c r="P165" i="19"/>
  <c r="Q165" i="19"/>
  <c r="R165" i="19"/>
  <c r="S165" i="19"/>
  <c r="T165" i="19"/>
  <c r="U165" i="19"/>
  <c r="V165" i="19"/>
  <c r="W165" i="19"/>
  <c r="X165" i="19"/>
  <c r="Y165" i="19"/>
  <c r="Z165" i="19"/>
  <c r="AA165" i="19"/>
  <c r="AB165" i="19"/>
  <c r="AC165" i="19"/>
  <c r="E166" i="19"/>
  <c r="F166" i="19"/>
  <c r="G166" i="19"/>
  <c r="H166" i="19"/>
  <c r="I166" i="19"/>
  <c r="J166" i="19"/>
  <c r="K166" i="19"/>
  <c r="L166" i="19"/>
  <c r="M166" i="19"/>
  <c r="N166" i="19"/>
  <c r="O166" i="19"/>
  <c r="P166" i="19"/>
  <c r="Q166" i="19"/>
  <c r="R166" i="19"/>
  <c r="S166" i="19"/>
  <c r="T166" i="19"/>
  <c r="U166" i="19"/>
  <c r="V166" i="19"/>
  <c r="W166" i="19"/>
  <c r="X166" i="19"/>
  <c r="Y166" i="19"/>
  <c r="Z166" i="19"/>
  <c r="AA166" i="19"/>
  <c r="AB166" i="19"/>
  <c r="AC166" i="19"/>
  <c r="E167" i="19"/>
  <c r="F167" i="19"/>
  <c r="G167" i="19"/>
  <c r="H167" i="19"/>
  <c r="I167" i="19"/>
  <c r="J167" i="19"/>
  <c r="K167" i="19"/>
  <c r="L167" i="19"/>
  <c r="M167" i="19"/>
  <c r="N167" i="19"/>
  <c r="O167" i="19"/>
  <c r="P167" i="19"/>
  <c r="Q167" i="19"/>
  <c r="R167" i="19"/>
  <c r="S167" i="19"/>
  <c r="T167" i="19"/>
  <c r="U167" i="19"/>
  <c r="V167" i="19"/>
  <c r="W167" i="19"/>
  <c r="X167" i="19"/>
  <c r="Y167" i="19"/>
  <c r="Z167" i="19"/>
  <c r="AA167" i="19"/>
  <c r="AB167" i="19"/>
  <c r="AC167" i="19"/>
  <c r="E168" i="19"/>
  <c r="F168" i="19"/>
  <c r="G168" i="19"/>
  <c r="H168" i="19"/>
  <c r="I168" i="19"/>
  <c r="J168" i="19"/>
  <c r="K168" i="19"/>
  <c r="L168" i="19"/>
  <c r="M168" i="19"/>
  <c r="N168" i="19"/>
  <c r="O168" i="19"/>
  <c r="P168" i="19"/>
  <c r="Q168" i="19"/>
  <c r="R168" i="19"/>
  <c r="S168" i="19"/>
  <c r="T168" i="19"/>
  <c r="U168" i="19"/>
  <c r="V168" i="19"/>
  <c r="W168" i="19"/>
  <c r="X168" i="19"/>
  <c r="Y168" i="19"/>
  <c r="Z168" i="19"/>
  <c r="AA168" i="19"/>
  <c r="AB168" i="19"/>
  <c r="AC168" i="19"/>
  <c r="E169" i="19"/>
  <c r="F169" i="19"/>
  <c r="G169" i="19"/>
  <c r="H169" i="19"/>
  <c r="I169" i="19"/>
  <c r="J169" i="19"/>
  <c r="K169" i="19"/>
  <c r="L169" i="19"/>
  <c r="M169" i="19"/>
  <c r="N169" i="19"/>
  <c r="O169" i="19"/>
  <c r="P169" i="19"/>
  <c r="Q169" i="19"/>
  <c r="R169" i="19"/>
  <c r="S169" i="19"/>
  <c r="T169" i="19"/>
  <c r="U169" i="19"/>
  <c r="V169" i="19"/>
  <c r="W169" i="19"/>
  <c r="X169" i="19"/>
  <c r="Y169" i="19"/>
  <c r="Z169" i="19"/>
  <c r="AA169" i="19"/>
  <c r="AB169" i="19"/>
  <c r="AC169" i="19"/>
  <c r="E170" i="19"/>
  <c r="F170" i="19"/>
  <c r="G170" i="19"/>
  <c r="H170" i="19"/>
  <c r="I170" i="19"/>
  <c r="J170" i="19"/>
  <c r="K170" i="19"/>
  <c r="L170" i="19"/>
  <c r="M170" i="19"/>
  <c r="N170" i="19"/>
  <c r="O170" i="19"/>
  <c r="P170" i="19"/>
  <c r="Q170" i="19"/>
  <c r="R170" i="19"/>
  <c r="S170" i="19"/>
  <c r="T170" i="19"/>
  <c r="U170" i="19"/>
  <c r="V170" i="19"/>
  <c r="W170" i="19"/>
  <c r="X170" i="19"/>
  <c r="Y170" i="19"/>
  <c r="Z170" i="19"/>
  <c r="AA170" i="19"/>
  <c r="AB170" i="19"/>
  <c r="AC170" i="19"/>
  <c r="E171" i="19"/>
  <c r="F171" i="19"/>
  <c r="G171" i="19"/>
  <c r="H171" i="19"/>
  <c r="I171" i="19"/>
  <c r="J171" i="19"/>
  <c r="K171" i="19"/>
  <c r="L171" i="19"/>
  <c r="M171" i="19"/>
  <c r="N171" i="19"/>
  <c r="O171" i="19"/>
  <c r="P171" i="19"/>
  <c r="Q171" i="19"/>
  <c r="R171" i="19"/>
  <c r="S171" i="19"/>
  <c r="T171" i="19"/>
  <c r="U171" i="19"/>
  <c r="V171" i="19"/>
  <c r="W171" i="19"/>
  <c r="X171" i="19"/>
  <c r="Y171" i="19"/>
  <c r="Z171" i="19"/>
  <c r="AA171" i="19"/>
  <c r="AB171" i="19"/>
  <c r="AC171" i="19"/>
  <c r="E172" i="19"/>
  <c r="F172" i="19"/>
  <c r="G172" i="19"/>
  <c r="H172" i="19"/>
  <c r="I172" i="19"/>
  <c r="J172" i="19"/>
  <c r="K172" i="19"/>
  <c r="L172" i="19"/>
  <c r="M172" i="19"/>
  <c r="N172" i="19"/>
  <c r="O172" i="19"/>
  <c r="P172" i="19"/>
  <c r="Q172" i="19"/>
  <c r="R172" i="19"/>
  <c r="S172" i="19"/>
  <c r="T172" i="19"/>
  <c r="U172" i="19"/>
  <c r="V172" i="19"/>
  <c r="W172" i="19"/>
  <c r="X172" i="19"/>
  <c r="Y172" i="19"/>
  <c r="Z172" i="19"/>
  <c r="AA172" i="19"/>
  <c r="AB172" i="19"/>
  <c r="AC172" i="19"/>
  <c r="E173" i="19"/>
  <c r="F173" i="19"/>
  <c r="G173" i="19"/>
  <c r="H173" i="19"/>
  <c r="I173" i="19"/>
  <c r="J173" i="19"/>
  <c r="K173" i="19"/>
  <c r="L173" i="19"/>
  <c r="M173" i="19"/>
  <c r="N173" i="19"/>
  <c r="O173" i="19"/>
  <c r="P173" i="19"/>
  <c r="Q173" i="19"/>
  <c r="R173" i="19"/>
  <c r="S173" i="19"/>
  <c r="T173" i="19"/>
  <c r="U173" i="19"/>
  <c r="V173" i="19"/>
  <c r="W173" i="19"/>
  <c r="X173" i="19"/>
  <c r="Y173" i="19"/>
  <c r="Z173" i="19"/>
  <c r="AA173" i="19"/>
  <c r="AB173" i="19"/>
  <c r="AC173" i="19"/>
  <c r="E174" i="19"/>
  <c r="F174" i="19"/>
  <c r="G174" i="19"/>
  <c r="H174" i="19"/>
  <c r="I174" i="19"/>
  <c r="J174" i="19"/>
  <c r="K174" i="19"/>
  <c r="L174" i="19"/>
  <c r="M174" i="19"/>
  <c r="N174" i="19"/>
  <c r="O174" i="19"/>
  <c r="P174" i="19"/>
  <c r="Q174" i="19"/>
  <c r="R174" i="19"/>
  <c r="S174" i="19"/>
  <c r="T174" i="19"/>
  <c r="U174" i="19"/>
  <c r="V174" i="19"/>
  <c r="W174" i="19"/>
  <c r="X174" i="19"/>
  <c r="Y174" i="19"/>
  <c r="Z174" i="19"/>
  <c r="AA174" i="19"/>
  <c r="AB174" i="19"/>
  <c r="AC174" i="19"/>
  <c r="E175" i="19"/>
  <c r="F175" i="19"/>
  <c r="G175" i="19"/>
  <c r="H175" i="19"/>
  <c r="I175" i="19"/>
  <c r="J175" i="19"/>
  <c r="K175" i="19"/>
  <c r="L175" i="19"/>
  <c r="M175" i="19"/>
  <c r="N175" i="19"/>
  <c r="O175" i="19"/>
  <c r="P175" i="19"/>
  <c r="Q175" i="19"/>
  <c r="R175" i="19"/>
  <c r="S175" i="19"/>
  <c r="T175" i="19"/>
  <c r="U175" i="19"/>
  <c r="V175" i="19"/>
  <c r="W175" i="19"/>
  <c r="X175" i="19"/>
  <c r="Y175" i="19"/>
  <c r="Z175" i="19"/>
  <c r="AA175" i="19"/>
  <c r="AB175" i="19"/>
  <c r="AC175" i="19"/>
  <c r="E176" i="19"/>
  <c r="F176" i="19"/>
  <c r="G176" i="19"/>
  <c r="H176" i="19"/>
  <c r="I176" i="19"/>
  <c r="J176" i="19"/>
  <c r="K176" i="19"/>
  <c r="L176" i="19"/>
  <c r="M176" i="19"/>
  <c r="N176" i="19"/>
  <c r="O176" i="19"/>
  <c r="P176" i="19"/>
  <c r="Q176" i="19"/>
  <c r="R176" i="19"/>
  <c r="S176" i="19"/>
  <c r="T176" i="19"/>
  <c r="U176" i="19"/>
  <c r="V176" i="19"/>
  <c r="W176" i="19"/>
  <c r="X176" i="19"/>
  <c r="Y176" i="19"/>
  <c r="Z176" i="19"/>
  <c r="AA176" i="19"/>
  <c r="AB176" i="19"/>
  <c r="AC176" i="19"/>
  <c r="E177" i="19"/>
  <c r="F177" i="19"/>
  <c r="G177" i="19"/>
  <c r="H177" i="19"/>
  <c r="I177" i="19"/>
  <c r="J177" i="19"/>
  <c r="K177" i="19"/>
  <c r="L177" i="19"/>
  <c r="M177" i="19"/>
  <c r="N177" i="19"/>
  <c r="O177" i="19"/>
  <c r="P177" i="19"/>
  <c r="Q177" i="19"/>
  <c r="R177" i="19"/>
  <c r="S177" i="19"/>
  <c r="T177" i="19"/>
  <c r="U177" i="19"/>
  <c r="V177" i="19"/>
  <c r="W177" i="19"/>
  <c r="X177" i="19"/>
  <c r="Y177" i="19"/>
  <c r="Z177" i="19"/>
  <c r="AA177" i="19"/>
  <c r="AB177" i="19"/>
  <c r="AC177" i="19"/>
  <c r="E178" i="19"/>
  <c r="F178" i="19"/>
  <c r="G178" i="19"/>
  <c r="H178" i="19"/>
  <c r="I178" i="19"/>
  <c r="J178" i="19"/>
  <c r="K178" i="19"/>
  <c r="L178" i="19"/>
  <c r="M178" i="19"/>
  <c r="N178" i="19"/>
  <c r="O178" i="19"/>
  <c r="P178" i="19"/>
  <c r="Q178" i="19"/>
  <c r="R178" i="19"/>
  <c r="S178" i="19"/>
  <c r="T178" i="19"/>
  <c r="U178" i="19"/>
  <c r="V178" i="19"/>
  <c r="W178" i="19"/>
  <c r="X178" i="19"/>
  <c r="Y178" i="19"/>
  <c r="Z178" i="19"/>
  <c r="AA178" i="19"/>
  <c r="AB178" i="19"/>
  <c r="AC178" i="19"/>
  <c r="E179" i="19"/>
  <c r="F179" i="19"/>
  <c r="G179" i="19"/>
  <c r="H179" i="19"/>
  <c r="I179" i="19"/>
  <c r="J179" i="19"/>
  <c r="K179" i="19"/>
  <c r="L179" i="19"/>
  <c r="M179" i="19"/>
  <c r="N179" i="19"/>
  <c r="O179" i="19"/>
  <c r="P179" i="19"/>
  <c r="Q179" i="19"/>
  <c r="R179" i="19"/>
  <c r="S179" i="19"/>
  <c r="T179" i="19"/>
  <c r="U179" i="19"/>
  <c r="V179" i="19"/>
  <c r="W179" i="19"/>
  <c r="X179" i="19"/>
  <c r="Y179" i="19"/>
  <c r="Z179" i="19"/>
  <c r="AA179" i="19"/>
  <c r="AB179" i="19"/>
  <c r="AC179" i="19"/>
  <c r="E180" i="19"/>
  <c r="F180" i="19"/>
  <c r="G180" i="19"/>
  <c r="H180" i="19"/>
  <c r="I180" i="19"/>
  <c r="J180" i="19"/>
  <c r="K180" i="19"/>
  <c r="L180" i="19"/>
  <c r="M180" i="19"/>
  <c r="N180" i="19"/>
  <c r="O180" i="19"/>
  <c r="P180" i="19"/>
  <c r="Q180" i="19"/>
  <c r="R180" i="19"/>
  <c r="S180" i="19"/>
  <c r="T180" i="19"/>
  <c r="U180" i="19"/>
  <c r="V180" i="19"/>
  <c r="W180" i="19"/>
  <c r="X180" i="19"/>
  <c r="Y180" i="19"/>
  <c r="Z180" i="19"/>
  <c r="AA180" i="19"/>
  <c r="AB180" i="19"/>
  <c r="AC180" i="19"/>
  <c r="E181" i="19"/>
  <c r="F181" i="19"/>
  <c r="G181" i="19"/>
  <c r="H181" i="19"/>
  <c r="I181" i="19"/>
  <c r="J181" i="19"/>
  <c r="K181" i="19"/>
  <c r="L181" i="19"/>
  <c r="M181" i="19"/>
  <c r="N181" i="19"/>
  <c r="O181" i="19"/>
  <c r="P181" i="19"/>
  <c r="Q181" i="19"/>
  <c r="R181" i="19"/>
  <c r="S181" i="19"/>
  <c r="T181" i="19"/>
  <c r="U181" i="19"/>
  <c r="V181" i="19"/>
  <c r="W181" i="19"/>
  <c r="X181" i="19"/>
  <c r="Y181" i="19"/>
  <c r="Z181" i="19"/>
  <c r="AA181" i="19"/>
  <c r="AB181" i="19"/>
  <c r="AC181" i="19"/>
  <c r="E182" i="19"/>
  <c r="F182" i="19"/>
  <c r="G182" i="19"/>
  <c r="H182" i="19"/>
  <c r="I182" i="19"/>
  <c r="J182" i="19"/>
  <c r="K182" i="19"/>
  <c r="L182" i="19"/>
  <c r="M182" i="19"/>
  <c r="N182" i="19"/>
  <c r="O182" i="19"/>
  <c r="P182" i="19"/>
  <c r="Q182" i="19"/>
  <c r="R182" i="19"/>
  <c r="S182" i="19"/>
  <c r="T182" i="19"/>
  <c r="U182" i="19"/>
  <c r="V182" i="19"/>
  <c r="W182" i="19"/>
  <c r="X182" i="19"/>
  <c r="Y182" i="19"/>
  <c r="Z182" i="19"/>
  <c r="AA182" i="19"/>
  <c r="AB182" i="19"/>
  <c r="AC182" i="19"/>
  <c r="E183" i="19"/>
  <c r="F183" i="19"/>
  <c r="G183" i="19"/>
  <c r="H183" i="19"/>
  <c r="I183" i="19"/>
  <c r="J183" i="19"/>
  <c r="K183" i="19"/>
  <c r="L183" i="19"/>
  <c r="M183" i="19"/>
  <c r="N183" i="19"/>
  <c r="O183" i="19"/>
  <c r="P183" i="19"/>
  <c r="Q183" i="19"/>
  <c r="R183" i="19"/>
  <c r="S183" i="19"/>
  <c r="T183" i="19"/>
  <c r="U183" i="19"/>
  <c r="V183" i="19"/>
  <c r="W183" i="19"/>
  <c r="X183" i="19"/>
  <c r="Y183" i="19"/>
  <c r="Z183" i="19"/>
  <c r="AA183" i="19"/>
  <c r="AB183" i="19"/>
  <c r="AC183" i="19"/>
  <c r="E184" i="19"/>
  <c r="F184" i="19"/>
  <c r="G184" i="19"/>
  <c r="H184" i="19"/>
  <c r="I184" i="19"/>
  <c r="J184" i="19"/>
  <c r="K184" i="19"/>
  <c r="L184" i="19"/>
  <c r="M184" i="19"/>
  <c r="N184" i="19"/>
  <c r="O184" i="19"/>
  <c r="P184" i="19"/>
  <c r="Q184" i="19"/>
  <c r="R184" i="19"/>
  <c r="S184" i="19"/>
  <c r="T184" i="19"/>
  <c r="U184" i="19"/>
  <c r="V184" i="19"/>
  <c r="W184" i="19"/>
  <c r="X184" i="19"/>
  <c r="Y184" i="19"/>
  <c r="Z184" i="19"/>
  <c r="AA184" i="19"/>
  <c r="AB184" i="19"/>
  <c r="AC184" i="19"/>
  <c r="E185" i="19"/>
  <c r="F185" i="19"/>
  <c r="G185" i="19"/>
  <c r="H185" i="19"/>
  <c r="I185" i="19"/>
  <c r="J185" i="19"/>
  <c r="K185" i="19"/>
  <c r="L185" i="19"/>
  <c r="M185" i="19"/>
  <c r="N185" i="19"/>
  <c r="O185" i="19"/>
  <c r="P185" i="19"/>
  <c r="Q185" i="19"/>
  <c r="R185" i="19"/>
  <c r="S185" i="19"/>
  <c r="T185" i="19"/>
  <c r="U185" i="19"/>
  <c r="V185" i="19"/>
  <c r="W185" i="19"/>
  <c r="X185" i="19"/>
  <c r="Y185" i="19"/>
  <c r="Z185" i="19"/>
  <c r="AA185" i="19"/>
  <c r="AB185" i="19"/>
  <c r="AC185" i="19"/>
  <c r="E186" i="19"/>
  <c r="F186" i="19"/>
  <c r="G186" i="19"/>
  <c r="H186" i="19"/>
  <c r="I186" i="19"/>
  <c r="J186" i="19"/>
  <c r="K186" i="19"/>
  <c r="L186" i="19"/>
  <c r="M186" i="19"/>
  <c r="N186" i="19"/>
  <c r="O186" i="19"/>
  <c r="P186" i="19"/>
  <c r="Q186" i="19"/>
  <c r="R186" i="19"/>
  <c r="S186" i="19"/>
  <c r="T186" i="19"/>
  <c r="U186" i="19"/>
  <c r="V186" i="19"/>
  <c r="W186" i="19"/>
  <c r="X186" i="19"/>
  <c r="Y186" i="19"/>
  <c r="Z186" i="19"/>
  <c r="AA186" i="19"/>
  <c r="AB186" i="19"/>
  <c r="AC186" i="19"/>
  <c r="E187" i="19"/>
  <c r="F187" i="19"/>
  <c r="G187" i="19"/>
  <c r="H187" i="19"/>
  <c r="I187" i="19"/>
  <c r="J187" i="19"/>
  <c r="K187" i="19"/>
  <c r="L187" i="19"/>
  <c r="M187" i="19"/>
  <c r="N187" i="19"/>
  <c r="O187" i="19"/>
  <c r="P187" i="19"/>
  <c r="Q187" i="19"/>
  <c r="R187" i="19"/>
  <c r="S187" i="19"/>
  <c r="T187" i="19"/>
  <c r="U187" i="19"/>
  <c r="V187" i="19"/>
  <c r="W187" i="19"/>
  <c r="X187" i="19"/>
  <c r="Y187" i="19"/>
  <c r="Z187" i="19"/>
  <c r="AA187" i="19"/>
  <c r="AB187" i="19"/>
  <c r="AC187" i="19"/>
  <c r="E188" i="19"/>
  <c r="F188" i="19"/>
  <c r="G188" i="19"/>
  <c r="H188" i="19"/>
  <c r="I188" i="19"/>
  <c r="J188" i="19"/>
  <c r="K188" i="19"/>
  <c r="L188" i="19"/>
  <c r="M188" i="19"/>
  <c r="N188" i="19"/>
  <c r="O188" i="19"/>
  <c r="P188" i="19"/>
  <c r="Q188" i="19"/>
  <c r="R188" i="19"/>
  <c r="S188" i="19"/>
  <c r="T188" i="19"/>
  <c r="U188" i="19"/>
  <c r="V188" i="19"/>
  <c r="W188" i="19"/>
  <c r="X188" i="19"/>
  <c r="Y188" i="19"/>
  <c r="Z188" i="19"/>
  <c r="AA188" i="19"/>
  <c r="AB188" i="19"/>
  <c r="AC188" i="19"/>
  <c r="E189" i="19"/>
  <c r="F189" i="19"/>
  <c r="G189" i="19"/>
  <c r="H189" i="19"/>
  <c r="I189" i="19"/>
  <c r="J189" i="19"/>
  <c r="K189" i="19"/>
  <c r="L189" i="19"/>
  <c r="M189" i="19"/>
  <c r="N189" i="19"/>
  <c r="O189" i="19"/>
  <c r="P189" i="19"/>
  <c r="Q189" i="19"/>
  <c r="R189" i="19"/>
  <c r="S189" i="19"/>
  <c r="T189" i="19"/>
  <c r="U189" i="19"/>
  <c r="V189" i="19"/>
  <c r="W189" i="19"/>
  <c r="X189" i="19"/>
  <c r="Y189" i="19"/>
  <c r="Z189" i="19"/>
  <c r="AA189" i="19"/>
  <c r="AB189" i="19"/>
  <c r="AC189" i="19"/>
  <c r="E190" i="19"/>
  <c r="F190" i="19"/>
  <c r="G190" i="19"/>
  <c r="H190" i="19"/>
  <c r="I190" i="19"/>
  <c r="J190" i="19"/>
  <c r="K190" i="19"/>
  <c r="L190" i="19"/>
  <c r="M190" i="19"/>
  <c r="N190" i="19"/>
  <c r="O190" i="19"/>
  <c r="P190" i="19"/>
  <c r="Q190" i="19"/>
  <c r="R190" i="19"/>
  <c r="S190" i="19"/>
  <c r="T190" i="19"/>
  <c r="U190" i="19"/>
  <c r="V190" i="19"/>
  <c r="W190" i="19"/>
  <c r="X190" i="19"/>
  <c r="Y190" i="19"/>
  <c r="Z190" i="19"/>
  <c r="AA190" i="19"/>
  <c r="AB190" i="19"/>
  <c r="AC190" i="19"/>
  <c r="E191" i="19"/>
  <c r="F191" i="19"/>
  <c r="G191" i="19"/>
  <c r="H191" i="19"/>
  <c r="I191" i="19"/>
  <c r="J191" i="19"/>
  <c r="K191" i="19"/>
  <c r="L191" i="19"/>
  <c r="M191" i="19"/>
  <c r="N191" i="19"/>
  <c r="O191" i="19"/>
  <c r="P191" i="19"/>
  <c r="Q191" i="19"/>
  <c r="R191" i="19"/>
  <c r="S191" i="19"/>
  <c r="T191" i="19"/>
  <c r="U191" i="19"/>
  <c r="V191" i="19"/>
  <c r="W191" i="19"/>
  <c r="X191" i="19"/>
  <c r="Y191" i="19"/>
  <c r="Z191" i="19"/>
  <c r="AA191" i="19"/>
  <c r="AB191" i="19"/>
  <c r="AC191" i="19"/>
  <c r="E192" i="19"/>
  <c r="F192" i="19"/>
  <c r="G192" i="19"/>
  <c r="H192" i="19"/>
  <c r="I192" i="19"/>
  <c r="J192" i="19"/>
  <c r="K192" i="19"/>
  <c r="L192" i="19"/>
  <c r="M192" i="19"/>
  <c r="N192" i="19"/>
  <c r="O192" i="19"/>
  <c r="P192" i="19"/>
  <c r="Q192" i="19"/>
  <c r="R192" i="19"/>
  <c r="S192" i="19"/>
  <c r="T192" i="19"/>
  <c r="U192" i="19"/>
  <c r="V192" i="19"/>
  <c r="W192" i="19"/>
  <c r="X192" i="19"/>
  <c r="Y192" i="19"/>
  <c r="Z192" i="19"/>
  <c r="AA192" i="19"/>
  <c r="AB192" i="19"/>
  <c r="AC192" i="19"/>
  <c r="D107" i="19"/>
  <c r="D108" i="19"/>
  <c r="D109" i="19"/>
  <c r="D110" i="19"/>
  <c r="D111" i="19"/>
  <c r="D112" i="19"/>
  <c r="D113" i="19"/>
  <c r="D114" i="19"/>
  <c r="D115" i="19"/>
  <c r="D116" i="19"/>
  <c r="D117" i="19"/>
  <c r="D118" i="19"/>
  <c r="D119" i="19"/>
  <c r="D120" i="19"/>
  <c r="D121" i="19"/>
  <c r="D122" i="19"/>
  <c r="D123" i="19"/>
  <c r="D124" i="19"/>
  <c r="D125" i="19"/>
  <c r="D126" i="19"/>
  <c r="D127" i="19"/>
  <c r="D128" i="19"/>
  <c r="D129" i="19"/>
  <c r="D130" i="19"/>
  <c r="D131" i="19"/>
  <c r="D132" i="19"/>
  <c r="D133" i="19"/>
  <c r="D134" i="19"/>
  <c r="D135" i="19"/>
  <c r="D136" i="19"/>
  <c r="D137" i="19"/>
  <c r="D138" i="19"/>
  <c r="D139" i="19"/>
  <c r="D140" i="19"/>
  <c r="D141" i="19"/>
  <c r="D142" i="19"/>
  <c r="D143" i="19"/>
  <c r="D144" i="19"/>
  <c r="D145" i="19"/>
  <c r="D146" i="19"/>
  <c r="D147" i="19"/>
  <c r="D148" i="19"/>
  <c r="D149" i="19"/>
  <c r="D150" i="19"/>
  <c r="D151" i="19"/>
  <c r="D152" i="19"/>
  <c r="D153" i="19"/>
  <c r="D154" i="19"/>
  <c r="D155" i="19"/>
  <c r="D156" i="19"/>
  <c r="D157" i="19"/>
  <c r="D158" i="19"/>
  <c r="D159" i="19"/>
  <c r="D160" i="19"/>
  <c r="D161" i="19"/>
  <c r="D162" i="19"/>
  <c r="D163" i="19"/>
  <c r="D164" i="19"/>
  <c r="D165" i="19"/>
  <c r="D166" i="19"/>
  <c r="D167" i="19"/>
  <c r="D168" i="19"/>
  <c r="D169" i="19"/>
  <c r="D170" i="19"/>
  <c r="D171" i="19"/>
  <c r="D172" i="19"/>
  <c r="D173" i="19"/>
  <c r="D174" i="19"/>
  <c r="D175" i="19"/>
  <c r="D176" i="19"/>
  <c r="D177" i="19"/>
  <c r="D178" i="19"/>
  <c r="D179" i="19"/>
  <c r="D180" i="19"/>
  <c r="D181" i="19"/>
  <c r="D182" i="19"/>
  <c r="D183" i="19"/>
  <c r="D184" i="19"/>
  <c r="D185" i="19"/>
  <c r="D186" i="19"/>
  <c r="D187" i="19"/>
  <c r="D188" i="19"/>
  <c r="D189" i="19"/>
  <c r="D190" i="19"/>
  <c r="D191" i="19"/>
  <c r="D192" i="19"/>
  <c r="D106" i="19"/>
  <c r="B236" i="19" l="1"/>
  <c r="T237" i="19"/>
  <c r="L237" i="19"/>
  <c r="X236" i="19"/>
  <c r="F238" i="19"/>
  <c r="Y237" i="19"/>
  <c r="U238" i="19"/>
  <c r="E238" i="19"/>
  <c r="Z237" i="19"/>
  <c r="J237" i="19"/>
  <c r="O236" i="19"/>
  <c r="M236" i="19"/>
  <c r="G238" i="19"/>
  <c r="C236" i="19"/>
  <c r="AA236" i="19"/>
  <c r="O238" i="19"/>
  <c r="W238" i="19"/>
  <c r="C237" i="19"/>
  <c r="K237" i="19"/>
  <c r="Z236" i="19"/>
  <c r="H238" i="19"/>
  <c r="I236" i="19"/>
  <c r="P236" i="19"/>
  <c r="M238" i="19"/>
  <c r="AA237" i="19"/>
  <c r="D238" i="19"/>
  <c r="Y236" i="19"/>
  <c r="T238" i="19"/>
  <c r="H236" i="19"/>
  <c r="W236" i="19"/>
  <c r="G236" i="19"/>
  <c r="X238" i="19"/>
  <c r="R236" i="19"/>
  <c r="R237" i="19"/>
  <c r="B237" i="19"/>
  <c r="S238" i="19"/>
  <c r="C238" i="19"/>
  <c r="L238" i="19"/>
  <c r="X237" i="19"/>
  <c r="H237" i="19"/>
  <c r="Q237" i="19"/>
  <c r="V236" i="19"/>
  <c r="F236" i="19"/>
  <c r="AA238" i="19"/>
  <c r="W237" i="19"/>
  <c r="G237" i="19"/>
  <c r="P237" i="19"/>
  <c r="L236" i="19"/>
  <c r="U236" i="19"/>
  <c r="E236" i="19"/>
  <c r="D237" i="19"/>
  <c r="N236" i="19"/>
  <c r="K238" i="19"/>
  <c r="Q238" i="19"/>
  <c r="Z238" i="19"/>
  <c r="J238" i="19"/>
  <c r="V237" i="19"/>
  <c r="F237" i="19"/>
  <c r="O237" i="19"/>
  <c r="K236" i="19"/>
  <c r="T236" i="19"/>
  <c r="D236" i="19"/>
  <c r="M237" i="19"/>
  <c r="N238" i="19"/>
  <c r="S237" i="19"/>
  <c r="Q236" i="19"/>
  <c r="V238" i="19"/>
  <c r="I237" i="19"/>
  <c r="B238" i="19"/>
  <c r="R238" i="19"/>
  <c r="P238" i="19"/>
  <c r="Y238" i="19"/>
  <c r="I238" i="19"/>
  <c r="U237" i="19"/>
  <c r="E237" i="19"/>
  <c r="N237" i="19"/>
  <c r="J236" i="19"/>
  <c r="S236" i="19"/>
  <c r="E20" i="3" l="1"/>
  <c r="E14" i="3"/>
  <c r="E16" i="3"/>
  <c r="E18" i="3"/>
  <c r="E22" i="3"/>
  <c r="E1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F0F35B-3DA2-4C1E-A9B2-B74DF88EB860}"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2" xr16:uid="{3A621D53-7685-47F7-96A1-D1F4FE00B31C}" keepAlive="1" name="Query - Table15" description="Connection to the 'Table15' query in the workbook." type="5" refreshedVersion="8" background="1">
    <dbPr connection="Provider=Microsoft.Mashup.OleDb.1;Data Source=$Workbook$;Location=Table15;Extended Properties=&quot;&quot;" command="SELECT * FROM [Table15]"/>
  </connection>
  <connection id="3" xr16:uid="{AB6B7A08-5A51-4B02-BF11-D4BDECD3CE98}" keepAlive="1" name="Query - Table5" description="Connection to the 'Table5' query in the workbook." type="5" refreshedVersion="8" background="1" saveData="1">
    <dbPr connection="Provider=Microsoft.Mashup.OleDb.1;Data Source=$Workbook$;Location=Table5;Extended Properties=&quot;&quot;" command="SELECT * FROM [Table5]"/>
  </connection>
  <connection id="4" xr16:uid="{388057DE-2A73-4561-9545-4BE4E585A037}" keepAlive="1" name="Query - Table7" description="Connection to the 'Table7' query in the workbook." type="5" refreshedVersion="8" background="1" saveData="1">
    <dbPr connection="Provider=Microsoft.Mashup.OleDb.1;Data Source=$Workbook$;Location=Table7;Extended Properties=&quot;&quot;" command="SELECT * FROM [Table7]"/>
  </connection>
  <connection id="5" xr16:uid="{CFE39643-0B1A-49B1-A12E-589E0B43C29D}" keepAlive="1" name="Query - Table9_112" description="Connection to the 'Table9_112' query in the workbook." type="5" refreshedVersion="8" background="1" saveData="1">
    <dbPr connection="Provider=Microsoft.Mashup.OleDb.1;Data Source=$Workbook$;Location=Table9_112;Extended Properties=&quot;&quot;" command="SELECT * FROM [Table9_112]"/>
  </connection>
</connections>
</file>

<file path=xl/sharedStrings.xml><?xml version="1.0" encoding="utf-8"?>
<sst xmlns="http://schemas.openxmlformats.org/spreadsheetml/2006/main" count="2536" uniqueCount="119">
  <si>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</si>
  <si>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</si>
  <si>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</si>
  <si>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</si>
  <si>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</si>
  <si>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</si>
  <si>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</si>
  <si>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</si>
  <si>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</si>
  <si>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</si>
  <si>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</si>
  <si>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</si>
  <si>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</si>
  <si>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</si>
  <si>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</si>
  <si>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</si>
  <si>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</si>
  <si>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</si>
  <si>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</si>
  <si>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</si>
  <si>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</si>
  <si>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</si>
  <si>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</si>
  <si>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</si>
  <si>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</si>
  <si>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</si>
  <si>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</si>
  <si>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</si>
  <si>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</si>
  <si>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</si>
  <si>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</si>
  <si>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</si>
  <si>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</si>
  <si>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</si>
  <si>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</si>
  <si>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</si>
  <si>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</si>
  <si>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</si>
  <si>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</si>
  <si>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</si>
  <si>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</si>
  <si>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</si>
  <si>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</si>
  <si>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</si>
  <si>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</si>
  <si>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</si>
  <si>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</si>
  <si>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</si>
  <si>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</si>
  <si>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CPI</t>
  </si>
  <si>
    <t>#NOTE:There is no Housing data available for the rural sector .</t>
  </si>
  <si>
    <t>Q1. Based on the latest month’s data, identify the contribution of different broader categories (food, energy, transportation, education, etc.) towards the CPI basket. Broader categories (buckets) can be created by combining similar categories into one bucket; Ex.: Meals, Beverages, Cereals, can be clubbed to create “Food” category, etc.
• Which broader category has the highest contribution towards CPI calculation
• Contribution is calculated by evaluating the underlying index values for broader category and should add to 100% when contribution from different broader categories are added .</t>
  </si>
  <si>
    <t>KEY INSIGHTS:</t>
  </si>
  <si>
    <r>
      <t xml:space="preserve">• </t>
    </r>
    <r>
      <rPr>
        <b/>
        <sz val="12"/>
        <color theme="1"/>
        <rFont val="Aptos Narrow"/>
        <family val="2"/>
        <scheme val="minor"/>
      </rPr>
      <t>Food is the largest contributor to the CPI basket across all three sectors, contributing around 50%, making it the primary driver of inflation.
• Clothing is the second-largest contributor in every sector, contributing 11–13% of the CPI basket.
• Most other categories, including Healthcare, Education, Transportation, Fuel &amp; Light, and Household Goods &amp; Services, contribute 3–5% each, indicating a balanced distribution among non-food categories.
• Housing is included only in the Urban and Rural + Urban sectors, while it is not applicable in the Rural sector.
• Overall, Food and Clothing together account for over 60% of the CPI basket, highlighting their significant influence on overall consumer inflation.</t>
    </r>
  </si>
  <si>
    <t>Q2. A trend of Y-o-Y increase in CPI (rural + urban) inflation starting 2017 for the entire basket of products combined. 
• Create a graph depicting the growth rate Y-o-Y and identify the year with highest inflation rate.
• Highlight the reason why the year has the highest inflation (based on research).</t>
  </si>
  <si>
    <t>Inflation rate</t>
  </si>
  <si>
    <t>Y-o-Y increase in CPI</t>
  </si>
  <si>
    <r>
      <rPr>
        <b/>
        <sz val="14"/>
        <color theme="1"/>
        <rFont val="Aptos Narrow"/>
        <family val="2"/>
        <scheme val="minor"/>
      </rPr>
      <t>#CONCLUSION:</t>
    </r>
    <r>
      <rPr>
        <sz val="11"/>
        <color theme="1"/>
        <rFont val="Aptos Narrow"/>
        <family val="2"/>
        <scheme val="minor"/>
      </rPr>
      <t xml:space="preserve">
</t>
    </r>
    <r>
      <rPr>
        <b/>
        <sz val="12"/>
        <color theme="1"/>
        <rFont val="Aptos Narrow"/>
        <family val="2"/>
        <scheme val="minor"/>
      </rPr>
      <t>The Y-o-Y CPI analysis (2017–2022)</t>
    </r>
    <r>
      <rPr>
        <sz val="12"/>
        <color theme="1"/>
        <rFont val="Aptos Narrow"/>
        <family val="2"/>
        <scheme val="minor"/>
      </rPr>
      <t xml:space="preserve"> shows that inflation fluctuated over the years, with the </t>
    </r>
    <r>
      <rPr>
        <b/>
        <sz val="12"/>
        <color theme="1"/>
        <rFont val="Aptos Narrow"/>
        <family val="2"/>
        <scheme val="minor"/>
      </rPr>
      <t>most significant increase occurring in 2019</t>
    </r>
    <r>
      <rPr>
        <sz val="12"/>
        <color theme="1"/>
        <rFont val="Aptos Narrow"/>
        <family val="2"/>
        <scheme val="minor"/>
      </rPr>
      <t>, when the</t>
    </r>
    <r>
      <rPr>
        <b/>
        <sz val="12"/>
        <color theme="1"/>
        <rFont val="Aptos Narrow"/>
        <family val="2"/>
        <scheme val="minor"/>
      </rPr>
      <t xml:space="preserve"> inflation rate reached 7.74%</t>
    </r>
    <r>
      <rPr>
        <sz val="12"/>
        <color theme="1"/>
        <rFont val="Aptos Narrow"/>
        <family val="2"/>
        <scheme val="minor"/>
      </rPr>
      <t>, the highest during the analysis period. This sharp rise was primarily driven by a</t>
    </r>
    <r>
      <rPr>
        <b/>
        <sz val="12"/>
        <color theme="1"/>
        <rFont val="Aptos Narrow"/>
        <family val="2"/>
        <scheme val="minor"/>
      </rPr>
      <t xml:space="preserve"> surge in food inflation, particularly vegetable prices</t>
    </r>
    <r>
      <rPr>
        <sz val="12"/>
        <color theme="1"/>
        <rFont val="Aptos Narrow"/>
        <family val="2"/>
        <scheme val="minor"/>
      </rPr>
      <t xml:space="preserve">, caused by </t>
    </r>
    <r>
      <rPr>
        <b/>
        <sz val="12"/>
        <color theme="1"/>
        <rFont val="Aptos Narrow"/>
        <family val="2"/>
        <scheme val="minor"/>
      </rPr>
      <t>adverse weather conditions</t>
    </r>
    <r>
      <rPr>
        <sz val="12"/>
        <color theme="1"/>
        <rFont val="Aptos Narrow"/>
        <family val="2"/>
        <scheme val="minor"/>
      </rPr>
      <t xml:space="preserve">, </t>
    </r>
    <r>
      <rPr>
        <b/>
        <sz val="12"/>
        <color theme="1"/>
        <rFont val="Aptos Narrow"/>
        <family val="2"/>
        <scheme val="minor"/>
      </rPr>
      <t>supply shortages</t>
    </r>
    <r>
      <rPr>
        <sz val="12"/>
        <color theme="1"/>
        <rFont val="Aptos Narrow"/>
        <family val="2"/>
        <scheme val="minor"/>
      </rPr>
      <t xml:space="preserve">, and the </t>
    </r>
    <r>
      <rPr>
        <b/>
        <sz val="12"/>
        <color theme="1"/>
        <rFont val="Aptos Narrow"/>
        <family val="2"/>
        <scheme val="minor"/>
      </rPr>
      <t>nationwide onion price crisis</t>
    </r>
    <r>
      <rPr>
        <sz val="12"/>
        <color theme="1"/>
        <rFont val="Aptos Narrow"/>
        <family val="2"/>
        <scheme val="minor"/>
      </rPr>
      <t>. After this peak, inflation moderated and remained relatively stable between 5% and 6% from 2020 to 2022, indicating that although price pressures eased, inflation continued to remain elevated.</t>
    </r>
  </si>
  <si>
    <t>• 2019 recorded the highest inflation (7.74%), mainly due to the spike in vegetable and food prices.
• 2018 had the lowest inflation (2.34%), reflecting relatively stable consumer prices.
• Food inflation was the primary driver of overall CPI movements throughout the analysis period.
• From 2020 onwards, inflation stabilized around 5–6%, indicating sustained but controlled price growth.</t>
  </si>
  <si>
    <t>2019 Inflation Spike</t>
  </si>
  <si>
    <t>The sudden spike in inflation during 2019 was primarily driven by a sharp increase in food prices, particularly vegetables. Adverse weather conditions, including heavy monsoon rains and floods, damaged crops and disrupted supply chains, leading to shortages in the market. The onion price crisis further accelerated food inflation, causing vegetable prices to surge significantly. Since food constitutes nearly 50% of the CPI basket, the sharp rise in food prices had a substantial impact on the overall Consumer Price Index, resulting in the highest Year-over-Year inflation rate of 7.74% during the 2017–2022 period.</t>
  </si>
  <si>
    <t>Overall CPI</t>
  </si>
  <si>
    <t>RURAL + URBAN SECTOR</t>
  </si>
  <si>
    <t>CPI CHANGE</t>
  </si>
  <si>
    <t>M-o-M CPI TREND KEY INSIGHTS:</t>
  </si>
  <si>
    <t>ABSOLUTE CPI CHANGE TREND KEY INSIGHTS:</t>
  </si>
  <si>
    <t>• Spices were the highest contributor to food inflation across all sectors.
• Cereals and Milk also showed notable price increases.
• Oils &amp; Fats and Vegetables recorded the largest price declines.
• Overall, food inflation increased across all three sectors despite declines in some categories.</t>
  </si>
  <si>
    <t xml:space="preserve"> •June 2022 recorded the highest M-o-M inflation across all three sectors.
•Late 2022 to early 2023 saw temporary declines in inflation across all sectors.
•Inflation recovered from March 2023, with steady increases in April and May 2023.
•Overall, the Rural, Urban, and Rural + Urban sectors followed a similar inflation trend over the 12-month period.</t>
  </si>
  <si>
    <t xml:space="preserve">Q4. Investigate how the onset and progression of the COVID-19 pandemic affected inflation rates in India. Analyze the Impact of key pandemic milestone ( first lockdown) on the CPI inflation %, specially focus on categories like healthcare, food, and essential services. 
Hint: You can consider Mar’20 as the onset of covid, and can compare the inflation trend before and after Mar’20 to see if there is a change in inflation % before and after.  </t>
  </si>
  <si>
    <t>Sub Categories</t>
  </si>
  <si>
    <t>MAY 2023 CPI DATA (latest)</t>
  </si>
  <si>
    <t>Broader categories</t>
  </si>
  <si>
    <t>Intoxicants</t>
  </si>
  <si>
    <t>Food</t>
  </si>
  <si>
    <t>Row Labels</t>
  </si>
  <si>
    <t>Grand Total</t>
  </si>
  <si>
    <t>Sum of CPI</t>
  </si>
  <si>
    <t>M-o-M CPI Changes</t>
  </si>
  <si>
    <t>Sum of M-o-M CPI Changes</t>
  </si>
  <si>
    <t>Categories</t>
  </si>
  <si>
    <t>Jun-22</t>
  </si>
  <si>
    <t>May-23</t>
  </si>
  <si>
    <t>Sum of CPI CHANGE</t>
  </si>
  <si>
    <t xml:space="preserve"> Month-on-Month CPI CHANGES
(JUN,22 to MAY,23)</t>
  </si>
  <si>
    <t>CATEGORICAL ABSOLUTE CPI CHANGE
(JUN-2022 TO MAY  2023)</t>
  </si>
  <si>
    <t>Broader Categories</t>
  </si>
  <si>
    <t>Food &amp; Beverages</t>
  </si>
  <si>
    <t>Essential Services</t>
  </si>
  <si>
    <t>HealthCare</t>
  </si>
  <si>
    <t>YoY Inflation</t>
  </si>
  <si>
    <t>Before COVID-19 (Raw Data)</t>
  </si>
  <si>
    <t>After COVID-19 (Raw Data)</t>
  </si>
  <si>
    <t>March-2019</t>
  </si>
  <si>
    <t>February-2020</t>
  </si>
  <si>
    <t>March-2020</t>
  </si>
  <si>
    <t>February-2021</t>
  </si>
  <si>
    <t>Before COVID-19 (Processed Data)</t>
  </si>
  <si>
    <t>After COVID-19 (Processed Data)</t>
  </si>
  <si>
    <t>Average of YoY Inflation</t>
  </si>
  <si>
    <t>OVERALL INSIGHT:</t>
  </si>
  <si>
    <t>Food &amp; Beverages dominated pre-COVID inflation across all sectors (8.35%–8.60%). Post-COVID, food inflation declined in Rural and Combined sectors but increased slightly in Urban areas.</t>
  </si>
  <si>
    <t>Healthcare inflation also increased substantially, particularly in Urban areas, where it rose from 3.74% to 7.79%.</t>
  </si>
  <si>
    <t>Essential Services, comprising Transport &amp; Communication and Fuel &amp; Light, experienced rising inflation across all sectors, with the sharpest increase observed in Urban areas. Notably, Essential Services overtook Food &amp; Beverages as the leading inflation category in Urban areas, rising from 6.13% to 9.10%, compared to Food &amp; Beverages at 8.81%. This represents a shift in relative inflationary pressure towards transportation, communication, and fuel-related expenditure.</t>
  </si>
  <si>
    <t>Date</t>
  </si>
  <si>
    <t>Price</t>
  </si>
  <si>
    <t>Jan-2021 to May-2023 CPI (Raw Data)</t>
  </si>
  <si>
    <t>Crude oil Inflation jan-21 to May-23</t>
  </si>
  <si>
    <t>M-o-M CPI Change</t>
  </si>
  <si>
    <t>Crude INF</t>
  </si>
  <si>
    <t>Sum of Correlation</t>
  </si>
  <si>
    <t>Crude oil Price data source - https://www.indexmundi.com/</t>
  </si>
  <si>
    <t>Correlation B/w Crude oil and categories inflation</t>
  </si>
  <si>
    <t>The analysis reveals substantial volatility in imported crude oil prices, with the highest month-on-month increase of 22.10% in March 2022, followed by several sharp declines during late 2022 and 2023.</t>
  </si>
  <si>
    <r>
      <rPr>
        <b/>
        <sz val="11"/>
        <color theme="1"/>
        <rFont val="Aptos Narrow"/>
        <family val="2"/>
        <scheme val="minor"/>
      </rPr>
      <t>Energy-related categories:</t>
    </r>
    <r>
      <rPr>
        <sz val="11"/>
        <color theme="1"/>
        <rFont val="Aptos Narrow"/>
        <family val="2"/>
        <scheme val="minor"/>
      </rPr>
      <t xml:space="preserve"> Fuel and Light showed relatively weak positive correlations, ranging from +0.14 to +0.17. Transport and Communication recorded even weaker correlations, ranging from +0.10 to +0.15. This suggests that changes in imported crude oil prices were not consistently reflected in these CPI categories within the same month.</t>
    </r>
  </si>
  <si>
    <r>
      <rPr>
        <b/>
        <sz val="11"/>
        <color theme="1"/>
        <rFont val="Aptos Narrow"/>
        <family val="2"/>
        <scheme val="minor"/>
      </rPr>
      <t>Negative associations:</t>
    </r>
    <r>
      <rPr>
        <sz val="11"/>
        <color theme="1"/>
        <rFont val="Aptos Narrow"/>
        <family val="2"/>
        <scheme val="minor"/>
      </rPr>
      <t xml:space="preserve"> Cereals and Products exhibited a consistent negative correlation across sectors, ranging from −0.27 to −0.35. Milk and Products also showed negative correlations, particularly in Rural and Urban areas.</t>
    </r>
  </si>
  <si>
    <r>
      <rPr>
        <b/>
        <sz val="11"/>
        <color theme="1"/>
        <rFont val="Aptos Narrow"/>
        <family val="2"/>
        <scheme val="minor"/>
      </rPr>
      <t>Sectoral differences:</t>
    </r>
    <r>
      <rPr>
        <sz val="11"/>
        <color theme="1"/>
        <rFont val="Aptos Narrow"/>
        <family val="2"/>
        <scheme val="minor"/>
      </rPr>
      <t xml:space="preserve"> The overall correlation patterns were broadly similar across Rural, Urban and Rural+Urban. Urban areas recorded slightly higher positive correlations for Meat and Fish, while Rural areas showed a somewhat stronger relationship for Oils and Fats.</t>
    </r>
  </si>
  <si>
    <t>Q5. Investigate how major global economic events (like imported oil price fluctuations) have influenced India's inflation. This can include an analysis of imported goods and their price trends.
• For the purpose of this analysis, focus only on the imported oil price fluctuations for years 2021 to 2023 (Month-on-month)
• Identify trends in oil price change with change in inflation prices of all the categories and identify category whose inflation prices strongly changes with fluctuations in imported oil price
(Hint: you can use =correl function)</t>
  </si>
  <si>
    <t>Q3. With India's retail inflation reaching a 3-month high of 5.55% in November 2023, largely due to a sharp rise in food prices. Analyze the following for 12 months ending May’23.
• Investigate trends in the prices of broader food bucket category and evaluate month-on-month changes. Highlight month with highest and lowest food inflation.
• Identify the absolute changes in inflation over the same 12 months period and identify the biggest individual category contributor (only within broader food category) towards inflation.</t>
  </si>
  <si>
    <r>
      <rPr>
        <b/>
        <sz val="11"/>
        <color theme="1"/>
        <rFont val="Aptos Narrow"/>
        <family val="2"/>
        <scheme val="minor"/>
      </rPr>
      <t>Strongest positive associations:</t>
    </r>
    <r>
      <rPr>
        <sz val="11"/>
        <color theme="1"/>
        <rFont val="Aptos Narrow"/>
        <family val="2"/>
        <scheme val="minor"/>
      </rPr>
      <t xml:space="preserve"> Oils and Fats and Meat and Fish consistently recorded the highest positive correlations across all three sectors. Oils and Fats ranged from +0.41 to +0.46, while Meat and Fish ranged from +0.42 to +0.45. These represent moderate positive relationships, rather than strong correlations.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</si>
</sst>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yyyy"/>
  </numFmts>
  <fonts count="3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b/>
      <sz val="12"/>
      <color theme="1"/>
      <name val="Arial Black"/>
      <family val="2"/>
    </font>
    <font>
      <b/>
      <sz val="16"/>
      <color theme="1"/>
      <name val="Aptos Narrow"/>
      <family val="2"/>
      <scheme val="minor"/>
    </font>
    <font>
      <b/>
      <sz val="12"/>
      <color theme="1"/>
      <name val="Aptos Narrow"/>
      <family val="2"/>
      <scheme val="minor"/>
    </font>
    <font>
      <b/>
      <sz val="12"/>
      <color theme="1"/>
      <name val="Aptos Display"/>
      <family val="2"/>
      <scheme val="major"/>
    </font>
    <font>
      <b/>
      <sz val="16"/>
      <color theme="1"/>
      <name val="Arial"/>
      <family val="2"/>
    </font>
    <font>
      <b/>
      <sz val="14"/>
      <color theme="1" tint="4.9989318521683403E-2"/>
      <name val="Aptos Narrow"/>
      <family val="2"/>
      <scheme val="minor"/>
    </font>
    <font>
      <b/>
      <sz val="18"/>
      <color theme="1"/>
      <name val="Aptos Display"/>
      <family val="2"/>
      <scheme val="major"/>
    </font>
    <font>
      <sz val="12"/>
      <color theme="1"/>
      <name val="Aptos Narrow"/>
      <family val="2"/>
      <scheme val="minor"/>
    </font>
    <font>
      <b/>
      <sz val="18"/>
      <color theme="1"/>
      <name val="Aptos Narrow"/>
      <family val="2"/>
      <scheme val="minor"/>
    </font>
    <font>
      <sz val="8"/>
      <name val="Aptos Narrow"/>
      <family val="2"/>
      <scheme val="minor"/>
    </font>
    <font>
      <sz val="11"/>
      <color theme="1"/>
      <name val="Arial Black"/>
      <family val="2"/>
    </font>
    <font>
      <b/>
      <sz val="14"/>
      <color theme="1"/>
      <name val="Arial Black"/>
      <family val="2"/>
    </font>
    <font>
      <b/>
      <sz val="16"/>
      <color theme="1"/>
      <name val="Arial Black"/>
      <family val="2"/>
    </font>
    <font>
      <sz val="16"/>
      <color theme="1"/>
      <name val="Arial Black"/>
      <family val="2"/>
    </font>
    <font>
      <b/>
      <sz val="14"/>
      <color theme="1"/>
      <name val="Aptos Display"/>
      <family val="2"/>
      <scheme val="major"/>
    </font>
    <font>
      <sz val="11"/>
      <color rgb="FF333333"/>
      <name val="Arial"/>
      <family val="2"/>
    </font>
    <font>
      <sz val="16"/>
      <color theme="1"/>
      <name val="Aptos Narrow"/>
      <family val="2"/>
      <scheme val="minor"/>
    </font>
    <font>
      <b/>
      <sz val="16"/>
      <color theme="1"/>
      <name val="Aptos Display"/>
      <family val="2"/>
      <scheme val="major"/>
    </font>
    <font>
      <sz val="20"/>
      <color theme="1"/>
      <name val="Aptos Display"/>
      <family val="2"/>
      <scheme val="maj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0000"/>
        <bgColor indexed="64"/>
      </patternFill>
    </fill>
    <fill>
      <patternFill patternType="solid">
        <fgColor rgb="FF5FC9D7"/>
        <bgColor indexed="64"/>
      </patternFill>
    </fill>
    <fill>
      <patternFill patternType="solid">
        <fgColor rgb="FFFFC000"/>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rgb="FFFF2929"/>
        <bgColor indexed="64"/>
      </patternFill>
    </fill>
    <fill>
      <patternFill patternType="solid">
        <fgColor rgb="FFFF5757"/>
        <bgColor indexed="64"/>
      </patternFill>
    </fill>
    <fill>
      <patternFill patternType="solid">
        <fgColor theme="5" tint="0.39997558519241921"/>
        <bgColor indexed="64"/>
      </patternFill>
    </fill>
    <fill>
      <patternFill patternType="solid">
        <fgColor rgb="FFF1FB8F"/>
        <bgColor indexed="64"/>
      </patternFill>
    </fill>
    <fill>
      <patternFill patternType="solid">
        <fgColor theme="8" tint="0.59999389629810485"/>
        <bgColor indexed="64"/>
      </patternFill>
    </fill>
  </fills>
  <borders count="3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3">
    <xf numFmtId="0" fontId="0" fillId="0" borderId="0" xfId="0"/>
    <xf numFmtId="0" fontId="19" fillId="33" borderId="0" xfId="0" applyFont="1" applyFill="1"/>
    <xf numFmtId="0" fontId="0" fillId="0" borderId="0" xfId="0" applyBorder="1"/>
    <xf numFmtId="0" fontId="0" fillId="0" borderId="0" xfId="0" applyFill="1"/>
    <xf numFmtId="0" fontId="19" fillId="33" borderId="20" xfId="0" applyFont="1" applyFill="1" applyBorder="1"/>
    <xf numFmtId="0" fontId="19" fillId="33" borderId="21" xfId="0" applyFont="1" applyFill="1" applyBorder="1"/>
    <xf numFmtId="0" fontId="19" fillId="33" borderId="22" xfId="0" applyFont="1" applyFill="1" applyBorder="1"/>
    <xf numFmtId="0" fontId="0" fillId="0" borderId="18" xfId="0" applyFill="1" applyBorder="1"/>
    <xf numFmtId="0" fontId="0" fillId="0" borderId="0" xfId="0" applyFill="1" applyBorder="1"/>
    <xf numFmtId="10" fontId="0" fillId="0" borderId="19" xfId="1" applyNumberFormat="1" applyFont="1" applyFill="1" applyBorder="1"/>
    <xf numFmtId="0" fontId="0" fillId="0" borderId="15" xfId="0" applyFill="1" applyBorder="1"/>
    <xf numFmtId="0" fontId="0" fillId="0" borderId="16" xfId="0" applyFill="1" applyBorder="1"/>
    <xf numFmtId="10" fontId="0" fillId="0" borderId="17" xfId="1" applyNumberFormat="1" applyFont="1" applyFill="1" applyBorder="1"/>
    <xf numFmtId="0" fontId="19" fillId="33" borderId="21" xfId="0" applyFont="1" applyFill="1" applyBorder="1" applyAlignment="1"/>
    <xf numFmtId="0" fontId="19" fillId="33" borderId="22" xfId="0" applyFont="1" applyFill="1" applyBorder="1" applyAlignment="1"/>
    <xf numFmtId="0" fontId="0" fillId="0" borderId="0" xfId="0" applyAlignment="1">
      <alignment vertical="top" wrapText="1"/>
    </xf>
    <xf numFmtId="0" fontId="0" fillId="0" borderId="0" xfId="0" applyAlignment="1">
      <alignment vertical="top"/>
    </xf>
    <xf numFmtId="0" fontId="0" fillId="0" borderId="0" xfId="0" applyFill="1" applyAlignment="1">
      <alignment vertical="top" wrapText="1"/>
    </xf>
    <xf numFmtId="0" fontId="24" fillId="0" borderId="0" xfId="0" applyFont="1" applyFill="1" applyAlignment="1">
      <alignment vertical="top" wrapText="1"/>
    </xf>
    <xf numFmtId="0" fontId="18" fillId="0" borderId="0" xfId="0" applyFont="1" applyFill="1" applyAlignment="1">
      <alignment vertical="top" wrapText="1"/>
    </xf>
    <xf numFmtId="0" fontId="0" fillId="0" borderId="13" xfId="0" applyBorder="1"/>
    <xf numFmtId="0" fontId="25" fillId="0" borderId="0" xfId="0" applyFont="1" applyFill="1" applyAlignment="1">
      <alignment horizontal="center" vertical="center"/>
    </xf>
    <xf numFmtId="0" fontId="18" fillId="0" borderId="0" xfId="0" applyFont="1" applyAlignment="1">
      <alignment vertical="top" wrapText="1"/>
    </xf>
    <xf numFmtId="0" fontId="18" fillId="0" borderId="0" xfId="0" applyFont="1" applyFill="1" applyBorder="1" applyAlignment="1">
      <alignment vertical="top" wrapText="1"/>
    </xf>
    <xf numFmtId="0" fontId="19" fillId="0" borderId="0" xfId="0" applyFont="1" applyFill="1"/>
    <xf numFmtId="0" fontId="0" fillId="0" borderId="0" xfId="0" applyNumberFormat="1"/>
    <xf numFmtId="0" fontId="18" fillId="0" borderId="0" xfId="0" applyFont="1" applyFill="1" applyAlignment="1">
      <alignment horizontal="left" vertical="center" wrapText="1"/>
    </xf>
    <xf numFmtId="0" fontId="18" fillId="0" borderId="0" xfId="0" applyFont="1" applyFill="1" applyAlignment="1">
      <alignment vertical="center" wrapText="1"/>
    </xf>
    <xf numFmtId="0" fontId="26" fillId="0" borderId="0" xfId="0" applyFont="1" applyFill="1" applyBorder="1"/>
    <xf numFmtId="17" fontId="18" fillId="0" borderId="0" xfId="0" applyNumberFormat="1" applyFont="1" applyFill="1" applyBorder="1" applyAlignment="1">
      <alignment horizontal="center" vertical="center" wrapText="1"/>
    </xf>
    <xf numFmtId="0" fontId="26" fillId="0" borderId="13" xfId="0" applyFont="1" applyFill="1" applyBorder="1"/>
    <xf numFmtId="0" fontId="19" fillId="0" borderId="19" xfId="0" applyFont="1" applyFill="1" applyBorder="1"/>
    <xf numFmtId="0" fontId="19" fillId="0" borderId="11" xfId="0" applyFont="1" applyFill="1" applyBorder="1"/>
    <xf numFmtId="0" fontId="29" fillId="0" borderId="11" xfId="0" applyFont="1" applyFill="1" applyBorder="1"/>
    <xf numFmtId="0" fontId="29" fillId="0" borderId="10" xfId="0" applyFont="1" applyFill="1" applyBorder="1"/>
    <xf numFmtId="0" fontId="29" fillId="0" borderId="18" xfId="0" applyFont="1" applyFill="1" applyBorder="1"/>
    <xf numFmtId="0" fontId="0" fillId="0" borderId="0" xfId="0" pivotButton="1"/>
    <xf numFmtId="0" fontId="0" fillId="0" borderId="0" xfId="0" applyAlignment="1">
      <alignment horizontal="left"/>
    </xf>
    <xf numFmtId="10" fontId="0" fillId="0" borderId="0" xfId="0" applyNumberFormat="1"/>
    <xf numFmtId="10" fontId="0" fillId="0" borderId="0" xfId="1" applyNumberFormat="1" applyFont="1"/>
    <xf numFmtId="10" fontId="0" fillId="0" borderId="0" xfId="0" applyNumberFormat="1" applyBorder="1"/>
    <xf numFmtId="10" fontId="19" fillId="0" borderId="0" xfId="0" applyNumberFormat="1" applyFont="1" applyFill="1" applyBorder="1"/>
    <xf numFmtId="164" fontId="0" fillId="0" borderId="0" xfId="0" applyNumberFormat="1"/>
    <xf numFmtId="164" fontId="0" fillId="0" borderId="0" xfId="0" applyNumberFormat="1" applyAlignment="1">
      <alignment horizontal="left"/>
    </xf>
    <xf numFmtId="17" fontId="0" fillId="0" borderId="0" xfId="0" applyNumberFormat="1" applyBorder="1"/>
    <xf numFmtId="0" fontId="0" fillId="0" borderId="0" xfId="0" applyNumberFormat="1" applyFont="1" applyFill="1" applyBorder="1"/>
    <xf numFmtId="0" fontId="27" fillId="0" borderId="0" xfId="0" applyFont="1" applyFill="1" applyBorder="1" applyAlignment="1">
      <alignment horizontal="center" vertical="center" wrapText="1"/>
    </xf>
    <xf numFmtId="0" fontId="18" fillId="0" borderId="0" xfId="0" applyFont="1" applyBorder="1" applyAlignment="1">
      <alignment vertical="top" wrapText="1"/>
    </xf>
    <xf numFmtId="2" fontId="0" fillId="0" borderId="0" xfId="0" applyNumberFormat="1"/>
    <xf numFmtId="2" fontId="0" fillId="0" borderId="0" xfId="1" applyNumberFormat="1" applyFont="1"/>
    <xf numFmtId="0" fontId="0" fillId="0" borderId="10" xfId="0" applyBorder="1"/>
    <xf numFmtId="0" fontId="0" fillId="0" borderId="19" xfId="0" applyBorder="1"/>
    <xf numFmtId="0" fontId="0" fillId="0" borderId="18" xfId="0" applyBorder="1"/>
    <xf numFmtId="0" fontId="0" fillId="0" borderId="15" xfId="0" applyBorder="1"/>
    <xf numFmtId="0" fontId="0" fillId="0" borderId="16" xfId="0" applyBorder="1"/>
    <xf numFmtId="0" fontId="0" fillId="0" borderId="17" xfId="0" applyBorder="1"/>
    <xf numFmtId="17" fontId="34" fillId="0" borderId="22" xfId="0" applyNumberFormat="1" applyFont="1" applyFill="1" applyBorder="1" applyAlignment="1">
      <alignment horizontal="right" vertical="center" wrapText="1"/>
    </xf>
    <xf numFmtId="4" fontId="34" fillId="0" borderId="31" xfId="0" applyNumberFormat="1" applyFont="1" applyFill="1" applyBorder="1" applyAlignment="1">
      <alignment horizontal="right" vertical="center" wrapText="1"/>
    </xf>
    <xf numFmtId="10" fontId="34" fillId="0" borderId="20" xfId="0" applyNumberFormat="1" applyFont="1" applyFill="1" applyBorder="1" applyAlignment="1">
      <alignment horizontal="right" vertical="center" wrapText="1"/>
    </xf>
    <xf numFmtId="17" fontId="34" fillId="0" borderId="14" xfId="0" applyNumberFormat="1" applyFont="1" applyFill="1" applyBorder="1" applyAlignment="1">
      <alignment horizontal="right" vertical="center" wrapText="1"/>
    </xf>
    <xf numFmtId="4" fontId="34" fillId="0" borderId="32" xfId="0" applyNumberFormat="1" applyFont="1" applyFill="1" applyBorder="1" applyAlignment="1">
      <alignment horizontal="right" vertical="center" wrapText="1"/>
    </xf>
    <xf numFmtId="10" fontId="34" fillId="0" borderId="12" xfId="0" applyNumberFormat="1" applyFont="1" applyFill="1" applyBorder="1" applyAlignment="1">
      <alignment horizontal="right" vertical="center" wrapText="1"/>
    </xf>
    <xf numFmtId="10" fontId="0" fillId="0" borderId="0" xfId="1" applyNumberFormat="1" applyFont="1" applyBorder="1"/>
    <xf numFmtId="10" fontId="0" fillId="0" borderId="19" xfId="1" applyNumberFormat="1" applyFont="1" applyBorder="1"/>
    <xf numFmtId="10" fontId="0" fillId="0" borderId="16" xfId="1" applyNumberFormat="1" applyFont="1" applyBorder="1"/>
    <xf numFmtId="10" fontId="0" fillId="0" borderId="17" xfId="1" applyNumberFormat="1" applyFont="1" applyBorder="1"/>
    <xf numFmtId="0" fontId="0" fillId="0" borderId="0" xfId="0" applyAlignment="1">
      <alignment vertical="center"/>
    </xf>
    <xf numFmtId="0" fontId="37" fillId="0" borderId="0" xfId="0" applyFont="1" applyAlignment="1">
      <alignment vertical="center"/>
    </xf>
    <xf numFmtId="0" fontId="0" fillId="38" borderId="0" xfId="0" applyFill="1" applyBorder="1" applyAlignment="1">
      <alignment horizontal="left" vertical="top" wrapText="1"/>
    </xf>
    <xf numFmtId="0" fontId="23" fillId="39" borderId="0" xfId="0" applyFont="1" applyFill="1" applyBorder="1" applyAlignment="1">
      <alignment horizontal="center" vertical="center"/>
    </xf>
    <xf numFmtId="0" fontId="18" fillId="37" borderId="0" xfId="0" applyFont="1" applyFill="1" applyAlignment="1">
      <alignment horizontal="left" vertical="center" wrapText="1"/>
    </xf>
    <xf numFmtId="17" fontId="18" fillId="34" borderId="12" xfId="0" applyNumberFormat="1" applyFont="1" applyFill="1" applyBorder="1" applyAlignment="1">
      <alignment horizontal="center" vertical="center" wrapText="1"/>
    </xf>
    <xf numFmtId="17" fontId="18" fillId="34" borderId="14" xfId="0" applyNumberFormat="1" applyFont="1" applyFill="1" applyBorder="1" applyAlignment="1">
      <alignment horizontal="center" vertical="center" wrapText="1"/>
    </xf>
    <xf numFmtId="17" fontId="18" fillId="34" borderId="15" xfId="0" applyNumberFormat="1" applyFont="1" applyFill="1" applyBorder="1" applyAlignment="1">
      <alignment horizontal="center" vertical="center" wrapText="1"/>
    </xf>
    <xf numFmtId="17" fontId="18" fillId="34" borderId="17" xfId="0" applyNumberFormat="1" applyFont="1" applyFill="1" applyBorder="1" applyAlignment="1">
      <alignment horizontal="center" vertical="center" wrapText="1"/>
    </xf>
    <xf numFmtId="0" fontId="22" fillId="36" borderId="0" xfId="0" applyFont="1" applyFill="1" applyAlignment="1">
      <alignment horizontal="center" vertical="center"/>
    </xf>
    <xf numFmtId="0" fontId="24" fillId="37" borderId="0" xfId="0" applyFont="1" applyFill="1" applyAlignment="1">
      <alignment horizontal="left" vertical="top" wrapText="1"/>
    </xf>
    <xf numFmtId="0" fontId="20" fillId="40" borderId="23" xfId="0" applyFont="1" applyFill="1" applyBorder="1" applyAlignment="1">
      <alignment horizontal="center" vertical="center"/>
    </xf>
    <xf numFmtId="0" fontId="20" fillId="40" borderId="24" xfId="0" applyFont="1" applyFill="1" applyBorder="1" applyAlignment="1">
      <alignment horizontal="center" vertical="center"/>
    </xf>
    <xf numFmtId="0" fontId="20" fillId="40" borderId="25" xfId="0" applyFont="1" applyFill="1" applyBorder="1" applyAlignment="1">
      <alignment horizontal="center" vertical="center"/>
    </xf>
    <xf numFmtId="0" fontId="20" fillId="40" borderId="28" xfId="0" applyFont="1" applyFill="1" applyBorder="1" applyAlignment="1">
      <alignment horizontal="center" vertical="center"/>
    </xf>
    <xf numFmtId="0" fontId="20" fillId="40" borderId="29" xfId="0" applyFont="1" applyFill="1" applyBorder="1" applyAlignment="1">
      <alignment horizontal="center" vertical="center"/>
    </xf>
    <xf numFmtId="0" fontId="20" fillId="40" borderId="30" xfId="0" applyFont="1" applyFill="1" applyBorder="1" applyAlignment="1">
      <alignment horizontal="center" vertical="center"/>
    </xf>
    <xf numFmtId="0" fontId="25" fillId="34" borderId="12" xfId="0" applyFont="1" applyFill="1" applyBorder="1" applyAlignment="1">
      <alignment horizontal="center" vertical="center"/>
    </xf>
    <xf numFmtId="0" fontId="25" fillId="34" borderId="13" xfId="0" applyFont="1" applyFill="1" applyBorder="1" applyAlignment="1">
      <alignment horizontal="center" vertical="center"/>
    </xf>
    <xf numFmtId="0" fontId="25" fillId="34" borderId="14" xfId="0" applyFont="1" applyFill="1" applyBorder="1" applyAlignment="1">
      <alignment horizontal="center" vertical="center"/>
    </xf>
    <xf numFmtId="0" fontId="25" fillId="34" borderId="15" xfId="0" applyFont="1" applyFill="1" applyBorder="1" applyAlignment="1">
      <alignment horizontal="center" vertical="center"/>
    </xf>
    <xf numFmtId="0" fontId="25" fillId="34" borderId="16" xfId="0" applyFont="1" applyFill="1" applyBorder="1" applyAlignment="1">
      <alignment horizontal="center" vertical="center"/>
    </xf>
    <xf numFmtId="0" fontId="25" fillId="34" borderId="17" xfId="0" applyFont="1" applyFill="1" applyBorder="1" applyAlignment="1">
      <alignment horizontal="center" vertical="center"/>
    </xf>
    <xf numFmtId="0" fontId="19" fillId="33" borderId="20" xfId="0" applyFont="1" applyFill="1" applyBorder="1" applyAlignment="1">
      <alignment horizontal="center"/>
    </xf>
    <xf numFmtId="0" fontId="19" fillId="33" borderId="21" xfId="0" applyFont="1" applyFill="1" applyBorder="1" applyAlignment="1">
      <alignment horizontal="center"/>
    </xf>
    <xf numFmtId="0" fontId="25" fillId="34" borderId="0" xfId="0" applyFont="1" applyFill="1" applyAlignment="1">
      <alignment horizontal="center" vertical="center"/>
    </xf>
    <xf numFmtId="0" fontId="21" fillId="38" borderId="0" xfId="0" applyFont="1" applyFill="1" applyAlignment="1">
      <alignment horizontal="left" vertical="top" wrapText="1"/>
    </xf>
    <xf numFmtId="0" fontId="21" fillId="33" borderId="23" xfId="0" applyFont="1" applyFill="1" applyBorder="1" applyAlignment="1">
      <alignment horizontal="center" vertical="top" wrapText="1"/>
    </xf>
    <xf numFmtId="0" fontId="21" fillId="33" borderId="24" xfId="0" applyFont="1" applyFill="1" applyBorder="1" applyAlignment="1">
      <alignment horizontal="center" vertical="top" wrapText="1"/>
    </xf>
    <xf numFmtId="0" fontId="21" fillId="33" borderId="25" xfId="0" applyFont="1" applyFill="1" applyBorder="1" applyAlignment="1">
      <alignment horizontal="center" vertical="top" wrapText="1"/>
    </xf>
    <xf numFmtId="0" fontId="21" fillId="33" borderId="26" xfId="0" applyFont="1" applyFill="1" applyBorder="1" applyAlignment="1">
      <alignment horizontal="center" vertical="top" wrapText="1"/>
    </xf>
    <xf numFmtId="0" fontId="21" fillId="33" borderId="0" xfId="0" applyFont="1" applyFill="1" applyBorder="1" applyAlignment="1">
      <alignment horizontal="center" vertical="top" wrapText="1"/>
    </xf>
    <xf numFmtId="0" fontId="21" fillId="33" borderId="27" xfId="0" applyFont="1" applyFill="1" applyBorder="1" applyAlignment="1">
      <alignment horizontal="center" vertical="top" wrapText="1"/>
    </xf>
    <xf numFmtId="0" fontId="21" fillId="33" borderId="28" xfId="0" applyFont="1" applyFill="1" applyBorder="1" applyAlignment="1">
      <alignment horizontal="center" vertical="top" wrapText="1"/>
    </xf>
    <xf numFmtId="0" fontId="21" fillId="33" borderId="29" xfId="0" applyFont="1" applyFill="1" applyBorder="1" applyAlignment="1">
      <alignment horizontal="center" vertical="top" wrapText="1"/>
    </xf>
    <xf numFmtId="0" fontId="21" fillId="33" borderId="30" xfId="0" applyFont="1" applyFill="1" applyBorder="1" applyAlignment="1">
      <alignment horizontal="center" vertical="top" wrapText="1"/>
    </xf>
    <xf numFmtId="0" fontId="0" fillId="35" borderId="0" xfId="0" applyFill="1" applyAlignment="1">
      <alignment horizontal="left" vertical="top" wrapText="1"/>
    </xf>
    <xf numFmtId="10" fontId="0" fillId="0" borderId="16" xfId="1" applyNumberFormat="1" applyFont="1" applyFill="1" applyBorder="1" applyAlignment="1">
      <alignment horizontal="center"/>
    </xf>
    <xf numFmtId="10" fontId="0" fillId="0" borderId="17" xfId="1" applyNumberFormat="1" applyFont="1" applyFill="1" applyBorder="1" applyAlignment="1">
      <alignment horizontal="center"/>
    </xf>
    <xf numFmtId="0" fontId="0" fillId="0" borderId="12" xfId="0" applyFill="1" applyBorder="1" applyAlignment="1">
      <alignment horizontal="center"/>
    </xf>
    <xf numFmtId="0" fontId="0" fillId="0" borderId="13" xfId="0" applyFill="1" applyBorder="1" applyAlignment="1">
      <alignment horizontal="center"/>
    </xf>
    <xf numFmtId="0" fontId="0" fillId="0" borderId="18" xfId="0" applyFill="1" applyBorder="1" applyAlignment="1">
      <alignment horizontal="center"/>
    </xf>
    <xf numFmtId="0" fontId="0" fillId="0" borderId="0" xfId="0" applyFill="1" applyBorder="1" applyAlignment="1">
      <alignment horizontal="center"/>
    </xf>
    <xf numFmtId="0" fontId="0" fillId="0" borderId="15" xfId="0" applyFill="1" applyBorder="1" applyAlignment="1">
      <alignment horizontal="center"/>
    </xf>
    <xf numFmtId="0" fontId="0" fillId="0" borderId="16" xfId="0" applyFill="1" applyBorder="1" applyAlignment="1">
      <alignment horizontal="center"/>
    </xf>
    <xf numFmtId="10" fontId="0" fillId="0" borderId="0" xfId="1" applyNumberFormat="1" applyFont="1" applyFill="1" applyBorder="1" applyAlignment="1">
      <alignment horizontal="center"/>
    </xf>
    <xf numFmtId="10" fontId="0" fillId="0" borderId="19" xfId="1" applyNumberFormat="1" applyFont="1" applyFill="1" applyBorder="1" applyAlignment="1">
      <alignment horizontal="center"/>
    </xf>
    <xf numFmtId="10" fontId="0" fillId="0" borderId="13" xfId="1" applyNumberFormat="1" applyFont="1" applyFill="1" applyBorder="1" applyAlignment="1">
      <alignment horizontal="center"/>
    </xf>
    <xf numFmtId="10" fontId="0" fillId="0" borderId="14" xfId="1" applyNumberFormat="1" applyFont="1" applyFill="1" applyBorder="1" applyAlignment="1">
      <alignment horizontal="center"/>
    </xf>
    <xf numFmtId="0" fontId="25" fillId="39" borderId="0" xfId="0" applyFont="1" applyFill="1" applyAlignment="1">
      <alignment horizontal="center" vertical="center"/>
    </xf>
    <xf numFmtId="0" fontId="30" fillId="38" borderId="0" xfId="0" applyFont="1" applyFill="1" applyAlignment="1">
      <alignment horizontal="left" vertical="top" wrapText="1"/>
    </xf>
    <xf numFmtId="0" fontId="30" fillId="37" borderId="0" xfId="0" applyFont="1" applyFill="1" applyAlignment="1">
      <alignment horizontal="left" vertical="top" wrapText="1"/>
    </xf>
    <xf numFmtId="0" fontId="27" fillId="34" borderId="18" xfId="0" applyFont="1" applyFill="1" applyBorder="1" applyAlignment="1">
      <alignment horizontal="center" vertical="center" wrapText="1"/>
    </xf>
    <xf numFmtId="0" fontId="27" fillId="34" borderId="0" xfId="0" applyFont="1" applyFill="1" applyBorder="1" applyAlignment="1">
      <alignment horizontal="center" vertical="center" wrapText="1"/>
    </xf>
    <xf numFmtId="0" fontId="32" fillId="38" borderId="0" xfId="0" applyFont="1" applyFill="1" applyAlignment="1">
      <alignment horizontal="center" vertical="center"/>
    </xf>
    <xf numFmtId="0" fontId="33" fillId="41" borderId="0" xfId="0" applyFont="1" applyFill="1" applyAlignment="1">
      <alignment horizontal="center" vertical="center" wrapText="1"/>
    </xf>
    <xf numFmtId="0" fontId="33" fillId="35" borderId="0" xfId="0" applyFont="1" applyFill="1" applyAlignment="1">
      <alignment horizontal="center" vertical="center" wrapText="1"/>
    </xf>
    <xf numFmtId="0" fontId="33" fillId="42" borderId="0" xfId="0" applyFont="1" applyFill="1" applyAlignment="1">
      <alignment horizontal="center" vertical="center" wrapText="1"/>
    </xf>
    <xf numFmtId="0" fontId="18" fillId="37" borderId="0" xfId="0" applyFont="1" applyFill="1" applyAlignment="1">
      <alignment horizontal="left" vertical="top" wrapText="1"/>
    </xf>
    <xf numFmtId="0" fontId="32" fillId="39" borderId="0" xfId="0" applyFont="1" applyFill="1" applyBorder="1" applyAlignment="1">
      <alignment horizontal="center" vertical="center"/>
    </xf>
    <xf numFmtId="0" fontId="31" fillId="39" borderId="0" xfId="0" applyFont="1" applyFill="1" applyAlignment="1">
      <alignment horizontal="center" vertical="center"/>
    </xf>
    <xf numFmtId="0" fontId="31" fillId="39" borderId="0" xfId="0" applyFont="1" applyFill="1" applyAlignment="1">
      <alignment horizontal="center" vertical="center" wrapText="1"/>
    </xf>
    <xf numFmtId="0" fontId="0" fillId="42" borderId="0" xfId="0" applyFill="1" applyAlignment="1">
      <alignment horizontal="center" vertical="center" wrapText="1"/>
    </xf>
    <xf numFmtId="0" fontId="0" fillId="35" borderId="0" xfId="0" applyFill="1" applyAlignment="1">
      <alignment horizontal="center" vertical="center" wrapText="1"/>
    </xf>
    <xf numFmtId="0" fontId="0" fillId="43" borderId="0" xfId="0" applyFill="1" applyAlignment="1">
      <alignment horizontal="center" vertical="center" wrapText="1"/>
    </xf>
    <xf numFmtId="0" fontId="18" fillId="39" borderId="0" xfId="0" applyFont="1" applyFill="1" applyAlignment="1">
      <alignment horizontal="center" vertical="center"/>
    </xf>
    <xf numFmtId="0" fontId="0" fillId="41" borderId="0" xfId="0" applyFill="1" applyAlignment="1">
      <alignment horizontal="center" vertical="center" wrapText="1"/>
    </xf>
    <xf numFmtId="0" fontId="0" fillId="38" borderId="0" xfId="0" applyFill="1" applyAlignment="1">
      <alignment horizontal="center" vertical="center" wrapText="1"/>
    </xf>
    <xf numFmtId="0" fontId="35" fillId="39" borderId="12" xfId="0" applyFont="1" applyFill="1" applyBorder="1" applyAlignment="1">
      <alignment horizontal="center" vertical="center"/>
    </xf>
    <xf numFmtId="0" fontId="35" fillId="39" borderId="13" xfId="0" applyFont="1" applyFill="1" applyBorder="1" applyAlignment="1">
      <alignment horizontal="center" vertical="center"/>
    </xf>
    <xf numFmtId="0" fontId="35" fillId="39" borderId="14" xfId="0" applyFont="1" applyFill="1" applyBorder="1" applyAlignment="1">
      <alignment horizontal="center" vertical="center"/>
    </xf>
    <xf numFmtId="0" fontId="35" fillId="39" borderId="18" xfId="0" applyFont="1" applyFill="1" applyBorder="1" applyAlignment="1">
      <alignment horizontal="center" vertical="center"/>
    </xf>
    <xf numFmtId="0" fontId="35" fillId="39" borderId="0" xfId="0" applyFont="1" applyFill="1" applyBorder="1" applyAlignment="1">
      <alignment horizontal="center" vertical="center"/>
    </xf>
    <xf numFmtId="0" fontId="35" fillId="39" borderId="19" xfId="0" applyFont="1" applyFill="1" applyBorder="1" applyAlignment="1">
      <alignment horizontal="center" vertical="center"/>
    </xf>
    <xf numFmtId="0" fontId="18" fillId="34" borderId="12" xfId="0" applyFont="1" applyFill="1" applyBorder="1" applyAlignment="1">
      <alignment horizontal="center" vertical="center"/>
    </xf>
    <xf numFmtId="0" fontId="18" fillId="34" borderId="13" xfId="0" applyFont="1" applyFill="1" applyBorder="1" applyAlignment="1">
      <alignment horizontal="center" vertical="center"/>
    </xf>
    <xf numFmtId="0" fontId="18" fillId="34" borderId="14" xfId="0" applyFont="1" applyFill="1" applyBorder="1" applyAlignment="1">
      <alignment horizontal="center" vertical="center"/>
    </xf>
    <xf numFmtId="0" fontId="18" fillId="34" borderId="15" xfId="0" applyFont="1" applyFill="1" applyBorder="1" applyAlignment="1">
      <alignment horizontal="center" vertical="center"/>
    </xf>
    <xf numFmtId="0" fontId="18" fillId="34" borderId="16" xfId="0" applyFont="1" applyFill="1" applyBorder="1" applyAlignment="1">
      <alignment horizontal="center" vertical="center"/>
    </xf>
    <xf numFmtId="0" fontId="18" fillId="34" borderId="17" xfId="0" applyFont="1" applyFill="1" applyBorder="1" applyAlignment="1">
      <alignment horizontal="center" vertical="center"/>
    </xf>
    <xf numFmtId="0" fontId="21" fillId="33" borderId="0" xfId="0" applyFont="1" applyFill="1" applyAlignment="1">
      <alignment horizontal="center" vertical="center"/>
    </xf>
    <xf numFmtId="0" fontId="36" fillId="39" borderId="12" xfId="0" applyFont="1" applyFill="1" applyBorder="1" applyAlignment="1">
      <alignment horizontal="center" vertical="center"/>
    </xf>
    <xf numFmtId="0" fontId="36" fillId="39" borderId="13" xfId="0" applyFont="1" applyFill="1" applyBorder="1" applyAlignment="1">
      <alignment horizontal="center" vertical="center"/>
    </xf>
    <xf numFmtId="0" fontId="36" fillId="39" borderId="14" xfId="0" applyFont="1" applyFill="1" applyBorder="1" applyAlignment="1">
      <alignment horizontal="center" vertical="center"/>
    </xf>
    <xf numFmtId="0" fontId="36" fillId="39" borderId="15" xfId="0" applyFont="1" applyFill="1" applyBorder="1" applyAlignment="1">
      <alignment horizontal="center" vertical="center"/>
    </xf>
    <xf numFmtId="0" fontId="36" fillId="39" borderId="16" xfId="0" applyFont="1" applyFill="1" applyBorder="1" applyAlignment="1">
      <alignment horizontal="center" vertical="center"/>
    </xf>
    <xf numFmtId="0" fontId="36" fillId="39" borderId="17" xfId="0" applyFont="1" applyFill="1" applyBorder="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6">
    <dxf>
      <font>
        <b/>
        <i val="0"/>
        <strike val="0"/>
        <condense val="0"/>
        <extend val="0"/>
        <outline val="0"/>
        <shadow val="0"/>
        <u val="none"/>
        <vertAlign val="baseline"/>
        <sz val="12"/>
        <color theme="1"/>
        <name val="Arial Black"/>
        <family val="2"/>
        <scheme val="none"/>
      </font>
      <fill>
        <patternFill patternType="none">
          <fgColor indexed="64"/>
          <bgColor auto="1"/>
        </patternFill>
      </fill>
    </dxf>
    <dxf>
      <font>
        <b val="0"/>
        <i val="0"/>
        <strike val="0"/>
        <condense val="0"/>
        <extend val="0"/>
        <outline val="0"/>
        <shadow val="0"/>
        <u val="none"/>
        <vertAlign val="baseline"/>
        <sz val="11"/>
        <color rgb="FF333333"/>
        <name val="Arial"/>
        <family val="2"/>
        <scheme val="none"/>
      </font>
      <numFmt numFmtId="14" formatCode="0.00%"/>
      <fill>
        <patternFill patternType="none">
          <fgColor indexed="64"/>
          <bgColor auto="1"/>
        </patternFill>
      </fill>
      <alignment horizontal="righ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rgb="FF333333"/>
        <name val="Arial"/>
        <family val="2"/>
        <scheme val="none"/>
      </font>
      <numFmt numFmtId="4" formatCode="#,##0.00"/>
      <fill>
        <patternFill patternType="none">
          <fgColor indexed="64"/>
          <bgColor auto="1"/>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333333"/>
        <name val="Arial"/>
        <family val="2"/>
        <scheme val="none"/>
      </font>
      <numFmt numFmtId="22" formatCode="mmm/yy"/>
      <fill>
        <patternFill patternType="none">
          <fgColor indexed="64"/>
          <bgColor auto="1"/>
        </patternFill>
      </fill>
      <alignment horizontal="right"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numFmt numFmtId="14" formatCode="0.00%"/>
    </dxf>
    <dxf>
      <font>
        <b val="0"/>
        <i val="0"/>
        <strike val="0"/>
        <condense val="0"/>
        <extend val="0"/>
        <outline val="0"/>
        <shadow val="0"/>
        <u val="none"/>
        <vertAlign val="baseline"/>
        <sz val="11"/>
        <color theme="1"/>
        <name val="Aptos Narrow"/>
        <family val="2"/>
        <scheme val="minor"/>
      </font>
      <numFmt numFmtId="2" formatCode="0.00"/>
    </dxf>
    <dxf>
      <numFmt numFmtId="0" formatCode="General"/>
    </dxf>
    <dxf>
      <numFmt numFmtId="0" formatCode="General"/>
    </dxf>
    <dxf>
      <numFmt numFmtId="14" formatCode="0.00%"/>
    </dxf>
    <dxf>
      <numFmt numFmtId="0" formatCode="General"/>
    </dxf>
    <dxf>
      <numFmt numFmtId="0" formatCode="General"/>
    </dxf>
    <dxf>
      <fill>
        <patternFill patternType="none">
          <fgColor indexed="64"/>
          <bgColor indexed="65"/>
        </patternFill>
      </fill>
    </dxf>
    <dxf>
      <font>
        <b/>
        <i val="0"/>
        <strike val="0"/>
        <condense val="0"/>
        <extend val="0"/>
        <outline val="0"/>
        <shadow val="0"/>
        <u val="none"/>
        <vertAlign val="baseline"/>
        <sz val="12"/>
        <color theme="1"/>
        <name val="Arial Black"/>
        <family val="2"/>
        <scheme val="none"/>
      </font>
      <fill>
        <patternFill patternType="none">
          <fgColor indexed="64"/>
          <bgColor indexed="65"/>
        </patternFill>
      </fill>
    </dxf>
    <dxf>
      <font>
        <b/>
        <i val="0"/>
        <strike val="0"/>
        <condense val="0"/>
        <extend val="0"/>
        <outline val="0"/>
        <shadow val="0"/>
        <u val="none"/>
        <vertAlign val="baseline"/>
        <sz val="12"/>
        <color theme="1"/>
        <name val="Arial Black"/>
        <family val="2"/>
        <scheme val="none"/>
      </font>
      <fill>
        <patternFill patternType="none">
          <fgColor indexed="64"/>
          <bgColor indexed="65"/>
        </patternFill>
      </fill>
    </dxf>
    <dxf>
      <numFmt numFmtId="14" formatCode="0.00%"/>
    </dxf>
    <dxf>
      <numFmt numFmtId="14" formatCode="0.00%"/>
    </dxf>
    <dxf>
      <numFmt numFmtId="13" formatCode="0%"/>
    </dxf>
    <dxf>
      <numFmt numFmtId="0" formatCode="General"/>
    </dxf>
    <dxf>
      <numFmt numFmtId="0" formatCode="General"/>
    </dxf>
    <dxf>
      <numFmt numFmtId="0" formatCode="General"/>
    </dxf>
    <dxf>
      <numFmt numFmtId="14" formatCode="0.00%"/>
    </dxf>
    <dxf>
      <numFmt numFmtId="164" formatCode="mmm/yyyy"/>
    </dxf>
    <dxf>
      <numFmt numFmtId="0" formatCode="General"/>
    </dxf>
    <dxf>
      <numFmt numFmtId="14" formatCode="0.00%"/>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2"/>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2"/>
        <color theme="1"/>
        <name val="Aptos Narrow"/>
        <family val="2"/>
        <scheme val="minor"/>
      </font>
      <fill>
        <patternFill patternType="none">
          <fgColor indexed="64"/>
          <bgColor indexed="65"/>
        </patternFill>
      </fill>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Black"/>
        <family val="2"/>
        <scheme val="none"/>
      </font>
      <fill>
        <patternFill patternType="none">
          <fgColor indexed="64"/>
          <bgColor auto="1"/>
        </patternFill>
      </fill>
      <border diagonalUp="0" diagonalDown="0" outline="0">
        <left style="thin">
          <color indexed="64"/>
        </left>
        <right style="thin">
          <color indexed="64"/>
        </right>
        <top/>
        <bottom/>
      </border>
    </dxf>
  </dxfs>
  <tableStyles count="0" defaultTableStyle="TableStyleMedium2" defaultPivotStyle="PivotStyleLight16"/>
  <colors>
    <mruColors>
      <color rgb="FF5FC9D7"/>
      <color rgb="FFF1FB8F"/>
      <color rgb="FFFF2929"/>
      <color rgb="FF003FFF"/>
      <color rgb="FFFF6969"/>
      <color rgb="FFFF5757"/>
      <color rgb="FFC832BD"/>
      <color rgb="FF4E9BF8"/>
      <color rgb="FFCAFC88"/>
      <color rgb="FFC7DF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pivotCacheDefinition" Target="pivotCache/pivotCacheDefinition4.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 Case_study by Karan Upadhyay.xlsx]Q1!PivotTable4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CPI CONTRIBUTION</a:t>
            </a:r>
          </a:p>
        </c:rich>
      </c:tx>
      <c:layout>
        <c:manualLayout>
          <c:xMode val="edge"/>
          <c:yMode val="edge"/>
          <c:x val="0.42669442483642644"/>
          <c:y val="3.591495910616397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dLbl>
          <c:idx val="0"/>
          <c:layout>
            <c:manualLayout>
              <c:x val="6.8095212697927968E-2"/>
              <c:y val="-1.744610660967816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dLbl>
          <c:idx val="0"/>
          <c:layout>
            <c:manualLayout>
              <c:x val="-2.6495399778421636E-2"/>
              <c:y val="-2.232746305840944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dLbl>
          <c:idx val="0"/>
          <c:layout>
            <c:manualLayout>
              <c:x val="-2.4757395592656169E-2"/>
              <c:y val="-5.290515753745589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dLbl>
          <c:idx val="0"/>
          <c:layout>
            <c:manualLayout>
              <c:x val="-1.5613408362933314E-2"/>
              <c:y val="-4.623978606447775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dLbl>
          <c:idx val="0"/>
          <c:layout>
            <c:manualLayout>
              <c:x val="-1.6162003002777488E-2"/>
              <c:y val="-9.9774102983136524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dLbl>
          <c:idx val="0"/>
          <c:layout>
            <c:manualLayout>
              <c:x val="-5.3358877930869762E-2"/>
              <c:y val="-7.976869364478932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dLbl>
          <c:idx val="0"/>
          <c:layout>
            <c:manualLayout>
              <c:x val="-2.1528259268448913E-2"/>
              <c:y val="-5.378207985250029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dLbl>
          <c:idx val="0"/>
          <c:layout>
            <c:manualLayout>
              <c:x val="-0.12074540374728222"/>
              <c:y val="-5.256642629395563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p3d/>
        </c:spPr>
        <c:dLbl>
          <c:idx val="0"/>
          <c:layout>
            <c:manualLayout>
              <c:x val="-4.3702327964163595E-2"/>
              <c:y val="1.7827960184222256E-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a:sp3d/>
        </c:spPr>
        <c:dLbl>
          <c:idx val="0"/>
          <c:layout>
            <c:manualLayout>
              <c:x val="-3.0261090378893307E-2"/>
              <c:y val="2.402203353027896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dLbl>
          <c:idx val="0"/>
          <c:layout>
            <c:manualLayout>
              <c:x val="-0.10944262392165166"/>
              <c:y val="1.255575999299071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a:sp3d/>
        </c:spPr>
        <c:dLbl>
          <c:idx val="0"/>
          <c:layout>
            <c:manualLayout>
              <c:x val="9.8854060625995447E-3"/>
              <c:y val="0.1124994571614686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view3D>
      <c:rotX val="50"/>
      <c:rotY val="3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9255662939743064E-2"/>
          <c:y val="0.1635782392222743"/>
          <c:w val="0.97508090678386194"/>
          <c:h val="0.82094038680578574"/>
        </c:manualLayout>
      </c:layout>
      <c:pie3DChart>
        <c:varyColors val="1"/>
        <c:ser>
          <c:idx val="0"/>
          <c:order val="0"/>
          <c:tx>
            <c:strRef>
              <c:f>'Q1'!$M$18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BA4-4A4B-9E07-00172817EFD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7BA4-4A4B-9E07-00172817EFD5}"/>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7BA4-4A4B-9E07-00172817EFD5}"/>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7BA4-4A4B-9E07-00172817EFD5}"/>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C-7BA4-4A4B-9E07-00172817EFD5}"/>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A-7BA4-4A4B-9E07-00172817EFD5}"/>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7BA4-4A4B-9E07-00172817EFD5}"/>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8-7BA4-4A4B-9E07-00172817EFD5}"/>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7BA4-4A4B-9E07-00172817EFD5}"/>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7BA4-4A4B-9E07-00172817EFD5}"/>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BA4-4A4B-9E07-00172817EFD5}"/>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7BA4-4A4B-9E07-00172817EFD5}"/>
              </c:ext>
            </c:extLst>
          </c:dPt>
          <c:dLbls>
            <c:dLbl>
              <c:idx val="0"/>
              <c:layout>
                <c:manualLayout>
                  <c:x val="-2.6495399778421636E-2"/>
                  <c:y val="-2.232746305840944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BA4-4A4B-9E07-00172817EFD5}"/>
                </c:ext>
              </c:extLst>
            </c:dLbl>
            <c:dLbl>
              <c:idx val="1"/>
              <c:layout>
                <c:manualLayout>
                  <c:x val="6.8095212697927968E-2"/>
                  <c:y val="-1.744610660967816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BA4-4A4B-9E07-00172817EFD5}"/>
                </c:ext>
              </c:extLst>
            </c:dLbl>
            <c:dLbl>
              <c:idx val="2"/>
              <c:layout>
                <c:manualLayout>
                  <c:x val="9.8854060625995447E-3"/>
                  <c:y val="0.11249945716146861"/>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BA4-4A4B-9E07-00172817EFD5}"/>
                </c:ext>
              </c:extLst>
            </c:dLbl>
            <c:dLbl>
              <c:idx val="3"/>
              <c:layout>
                <c:manualLayout>
                  <c:x val="-3.0261090378893307E-2"/>
                  <c:y val="2.402203353027896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BA4-4A4B-9E07-00172817EFD5}"/>
                </c:ext>
              </c:extLst>
            </c:dLbl>
            <c:dLbl>
              <c:idx val="4"/>
              <c:layout>
                <c:manualLayout>
                  <c:x val="-0.10944262392165166"/>
                  <c:y val="1.255575999299071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BA4-4A4B-9E07-00172817EFD5}"/>
                </c:ext>
              </c:extLst>
            </c:dLbl>
            <c:dLbl>
              <c:idx val="5"/>
              <c:layout>
                <c:manualLayout>
                  <c:x val="-4.3702327964163595E-2"/>
                  <c:y val="1.7827960184222256E-5"/>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BA4-4A4B-9E07-00172817EFD5}"/>
                </c:ext>
              </c:extLst>
            </c:dLbl>
            <c:dLbl>
              <c:idx val="6"/>
              <c:layout>
                <c:manualLayout>
                  <c:x val="-0.12074540374728222"/>
                  <c:y val="-5.256642629395563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BA4-4A4B-9E07-00172817EFD5}"/>
                </c:ext>
              </c:extLst>
            </c:dLbl>
            <c:dLbl>
              <c:idx val="7"/>
              <c:layout>
                <c:manualLayout>
                  <c:x val="-2.1528259268448913E-2"/>
                  <c:y val="-5.378207985250029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BA4-4A4B-9E07-00172817EFD5}"/>
                </c:ext>
              </c:extLst>
            </c:dLbl>
            <c:dLbl>
              <c:idx val="8"/>
              <c:layout>
                <c:manualLayout>
                  <c:x val="-5.3358877930869762E-2"/>
                  <c:y val="-7.976869364478932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BA4-4A4B-9E07-00172817EFD5}"/>
                </c:ext>
              </c:extLst>
            </c:dLbl>
            <c:dLbl>
              <c:idx val="9"/>
              <c:layout>
                <c:manualLayout>
                  <c:x val="-1.6162003002777488E-2"/>
                  <c:y val="-9.9774102983136524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BA4-4A4B-9E07-00172817EFD5}"/>
                </c:ext>
              </c:extLst>
            </c:dLbl>
            <c:dLbl>
              <c:idx val="10"/>
              <c:layout>
                <c:manualLayout>
                  <c:x val="-1.5613408362933314E-2"/>
                  <c:y val="-4.623978606447775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BA4-4A4B-9E07-00172817EFD5}"/>
                </c:ext>
              </c:extLst>
            </c:dLbl>
            <c:dLbl>
              <c:idx val="11"/>
              <c:layout>
                <c:manualLayout>
                  <c:x val="-2.4757395592656169E-2"/>
                  <c:y val="-5.290515753745589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BA4-4A4B-9E07-00172817EFD5}"/>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'Q1'!$L$19:$L$31</c:f>
              <c:strCache>
                <c:ptCount val="12"/>
                <c:pt idx="0">
                  <c:v>Clothing</c:v>
                </c:pt>
                <c:pt idx="1">
                  <c:v>Education</c:v>
                </c:pt>
                <c:pt idx="2">
                  <c:v>Food</c:v>
                </c:pt>
                <c:pt idx="3">
                  <c:v>Fuel and light</c:v>
                </c:pt>
                <c:pt idx="4">
                  <c:v>Health</c:v>
                </c:pt>
                <c:pt idx="5">
                  <c:v>Household goods and services</c:v>
                </c:pt>
                <c:pt idx="6">
                  <c:v>Housing</c:v>
                </c:pt>
                <c:pt idx="7">
                  <c:v>Intoxicants</c:v>
                </c:pt>
                <c:pt idx="8">
                  <c:v>Miscellaneous</c:v>
                </c:pt>
                <c:pt idx="9">
                  <c:v>Personal care and effects</c:v>
                </c:pt>
                <c:pt idx="10">
                  <c:v>Recreation and amusement</c:v>
                </c:pt>
                <c:pt idx="11">
                  <c:v>Transport and communication</c:v>
                </c:pt>
              </c:strCache>
            </c:strRef>
          </c:cat>
          <c:val>
            <c:numRef>
              <c:f>'Q1'!$M$19:$M$31</c:f>
              <c:numCache>
                <c:formatCode>0.00%</c:formatCode>
                <c:ptCount val="12"/>
                <c:pt idx="0">
                  <c:v>0.12667822530452563</c:v>
                </c:pt>
                <c:pt idx="1">
                  <c:v>4.0077353961056272E-2</c:v>
                </c:pt>
                <c:pt idx="2">
                  <c:v>0.50918022583800115</c:v>
                </c:pt>
                <c:pt idx="3">
                  <c:v>4.0566373255090236E-2</c:v>
                </c:pt>
                <c:pt idx="4">
                  <c:v>4.174446519071752E-2</c:v>
                </c:pt>
                <c:pt idx="5">
                  <c:v>3.9966213212412192E-2</c:v>
                </c:pt>
                <c:pt idx="6">
                  <c:v>0</c:v>
                </c:pt>
                <c:pt idx="7">
                  <c:v>4.4434071307904319E-2</c:v>
                </c:pt>
                <c:pt idx="8">
                  <c:v>3.9899528763225736E-2</c:v>
                </c:pt>
                <c:pt idx="9">
                  <c:v>4.1099848848581838E-2</c:v>
                </c:pt>
                <c:pt idx="10">
                  <c:v>3.8632524228683199E-2</c:v>
                </c:pt>
                <c:pt idx="11">
                  <c:v>3.7721170089801713E-2</c:v>
                </c:pt>
              </c:numCache>
            </c:numRef>
          </c:val>
          <c:extLst>
            <c:ext xmlns:c16="http://schemas.microsoft.com/office/drawing/2014/chart" uri="{C3380CC4-5D6E-409C-BE32-E72D297353CC}">
              <c16:uniqueId val="{00000000-7BA4-4A4B-9E07-00172817EFD5}"/>
            </c:ext>
          </c:extLst>
        </c:ser>
        <c:dLbls>
          <c:dLblPos val="ctr"/>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Y-o-Y Increase in CPI ( 2017-2022 )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1"/>
          <c:order val="1"/>
          <c:tx>
            <c:strRef>
              <c:f>'Q2'!$D$27</c:f>
              <c:strCache>
                <c:ptCount val="1"/>
                <c:pt idx="0">
                  <c:v>Inflation rate</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FFFF00">
                          <a:alpha val="66000"/>
                        </a:srgbClr>
                      </a:solidFill>
                    </a:ln>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'Q2'!$B$28:$B$33</c:f>
              <c:numCache>
                <c:formatCode>General</c:formatCode>
                <c:ptCount val="6"/>
                <c:pt idx="0">
                  <c:v>2017</c:v>
                </c:pt>
                <c:pt idx="1">
                  <c:v>2018</c:v>
                </c:pt>
                <c:pt idx="2">
                  <c:v>2019</c:v>
                </c:pt>
                <c:pt idx="3">
                  <c:v>2020</c:v>
                </c:pt>
                <c:pt idx="4">
                  <c:v>2021</c:v>
                </c:pt>
                <c:pt idx="5">
                  <c:v>2022</c:v>
                </c:pt>
              </c:numCache>
            </c:numRef>
          </c:cat>
          <c:val>
            <c:numRef>
              <c:f>'Q2'!$D$28:$D$33</c:f>
              <c:numCache>
                <c:formatCode>0.00%</c:formatCode>
                <c:ptCount val="6"/>
                <c:pt idx="0">
                  <c:v>5.295471987720627E-2</c:v>
                </c:pt>
                <c:pt idx="1">
                  <c:v>2.3374726077428697E-2</c:v>
                </c:pt>
                <c:pt idx="2">
                  <c:v>7.7363896848137617E-2</c:v>
                </c:pt>
                <c:pt idx="3">
                  <c:v>5.7922769640479481E-2</c:v>
                </c:pt>
                <c:pt idx="4">
                  <c:v>5.6579783852511001E-2</c:v>
                </c:pt>
                <c:pt idx="5">
                  <c:v>6.0350030175015092E-2</c:v>
                </c:pt>
              </c:numCache>
            </c:numRef>
          </c:val>
          <c:smooth val="0"/>
          <c:extLst>
            <c:ext xmlns:c16="http://schemas.microsoft.com/office/drawing/2014/chart" uri="{C3380CC4-5D6E-409C-BE32-E72D297353CC}">
              <c16:uniqueId val="{00000001-B593-47E1-9878-0C4BDBFB2B11}"/>
            </c:ext>
          </c:extLst>
        </c:ser>
        <c:ser>
          <c:idx val="2"/>
          <c:order val="2"/>
          <c:tx>
            <c:strRef>
              <c:f>'Q2'!$E$27</c:f>
              <c:strCache>
                <c:ptCount val="1"/>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'Q2'!$B$28:$B$33</c:f>
              <c:numCache>
                <c:formatCode>General</c:formatCode>
                <c:ptCount val="6"/>
                <c:pt idx="0">
                  <c:v>2017</c:v>
                </c:pt>
                <c:pt idx="1">
                  <c:v>2018</c:v>
                </c:pt>
                <c:pt idx="2">
                  <c:v>2019</c:v>
                </c:pt>
                <c:pt idx="3">
                  <c:v>2020</c:v>
                </c:pt>
                <c:pt idx="4">
                  <c:v>2021</c:v>
                </c:pt>
                <c:pt idx="5">
                  <c:v>2022</c:v>
                </c:pt>
              </c:numCache>
            </c:numRef>
          </c:cat>
          <c:val>
            <c:numRef>
              <c:f>'Q2'!$E$28:$E$33</c:f>
              <c:numCache>
                <c:formatCode>0.00%</c:formatCode>
                <c:ptCount val="6"/>
              </c:numCache>
            </c:numRef>
          </c:val>
          <c:smooth val="0"/>
          <c:extLst>
            <c:ext xmlns:c16="http://schemas.microsoft.com/office/drawing/2014/chart" uri="{C3380CC4-5D6E-409C-BE32-E72D297353CC}">
              <c16:uniqueId val="{00000006-B593-47E1-9878-0C4BDBFB2B11}"/>
            </c:ext>
          </c:extLst>
        </c:ser>
        <c:dLbls>
          <c:dLblPos val="t"/>
          <c:showLegendKey val="0"/>
          <c:showVal val="1"/>
          <c:showCatName val="0"/>
          <c:showSerName val="0"/>
          <c:showPercent val="0"/>
          <c:showBubbleSize val="0"/>
        </c:dLbls>
        <c:smooth val="0"/>
        <c:axId val="735851679"/>
        <c:axId val="735847839"/>
        <c:extLst>
          <c:ext xmlns:c15="http://schemas.microsoft.com/office/drawing/2012/chart" uri="{02D57815-91ED-43cb-92C2-25804820EDAC}">
            <c15:filteredLineSeries>
              <c15:ser>
                <c:idx val="0"/>
                <c:order val="0"/>
                <c:tx>
                  <c:strRef>
                    <c:extLst>
                      <c:ext uri="{02D57815-91ED-43cb-92C2-25804820EDAC}">
                        <c15:formulaRef>
                          <c15:sqref>'Q2'!$C$27</c15:sqref>
                        </c15:formulaRef>
                      </c:ext>
                    </c:extLst>
                    <c:strCache>
                      <c:ptCount val="1"/>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uri="{CE6537A1-D6FC-4f65-9D91-7224C49458BB}">
                      <c15:showLeaderLines val="1"/>
                      <c15:leaderLines>
                        <c:spPr>
                          <a:ln w="9525">
                            <a:solidFill>
                              <a:schemeClr val="lt1">
                                <a:lumMod val="95000"/>
                                <a:alpha val="54000"/>
                              </a:schemeClr>
                            </a:solidFill>
                          </a:ln>
                          <a:effectLst/>
                        </c:spPr>
                      </c15:leaderLines>
                    </c:ext>
                  </c:extLst>
                </c:dLbls>
                <c:cat>
                  <c:numRef>
                    <c:extLst>
                      <c:ext uri="{02D57815-91ED-43cb-92C2-25804820EDAC}">
                        <c15:formulaRef>
                          <c15:sqref>'Q2'!$B$28:$B$33</c15:sqref>
                        </c15:formulaRef>
                      </c:ext>
                    </c:extLst>
                    <c:numCache>
                      <c:formatCode>General</c:formatCode>
                      <c:ptCount val="6"/>
                      <c:pt idx="0">
                        <c:v>2017</c:v>
                      </c:pt>
                      <c:pt idx="1">
                        <c:v>2018</c:v>
                      </c:pt>
                      <c:pt idx="2">
                        <c:v>2019</c:v>
                      </c:pt>
                      <c:pt idx="3">
                        <c:v>2020</c:v>
                      </c:pt>
                      <c:pt idx="4">
                        <c:v>2021</c:v>
                      </c:pt>
                      <c:pt idx="5">
                        <c:v>2022</c:v>
                      </c:pt>
                    </c:numCache>
                  </c:numRef>
                </c:cat>
                <c:val>
                  <c:numRef>
                    <c:extLst>
                      <c:ext uri="{02D57815-91ED-43cb-92C2-25804820EDAC}">
                        <c15:formulaRef>
                          <c15:sqref>'Q2'!$C$28:$C$33</c15:sqref>
                        </c15:formulaRef>
                      </c:ext>
                    </c:extLst>
                    <c:numCache>
                      <c:formatCode>General</c:formatCode>
                      <c:ptCount val="6"/>
                    </c:numCache>
                  </c:numRef>
                </c:val>
                <c:smooth val="0"/>
                <c:extLst>
                  <c:ext xmlns:c16="http://schemas.microsoft.com/office/drawing/2014/chart" uri="{C3380CC4-5D6E-409C-BE32-E72D297353CC}">
                    <c16:uniqueId val="{00000000-B593-47E1-9878-0C4BDBFB2B11}"/>
                  </c:ext>
                </c:extLst>
              </c15:ser>
            </c15:filteredLineSeries>
          </c:ext>
        </c:extLst>
      </c:lineChart>
      <c:catAx>
        <c:axId val="73585167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5847839"/>
        <c:crosses val="autoZero"/>
        <c:auto val="1"/>
        <c:lblAlgn val="ctr"/>
        <c:lblOffset val="100"/>
        <c:noMultiLvlLbl val="0"/>
      </c:catAx>
      <c:valAx>
        <c:axId val="73584783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CPI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5851679"/>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 Case_study by Karan Upadhyay.xlsx]Q3!PivotTable11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12 month M-o-M CPI Changes </a:t>
            </a:r>
            <a:endParaRPr lang="en-US"/>
          </a:p>
        </c:rich>
      </c:tx>
      <c:layout>
        <c:manualLayout>
          <c:xMode val="edge"/>
          <c:yMode val="edge"/>
          <c:x val="0.36190724172300265"/>
          <c:y val="4.133727766830977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FFFF00">
                        <a:alpha val="70000"/>
                      </a:srgbClr>
                    </a:solidFill>
                  </a:ln>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'Q3'!$C$59</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FFFF00">
                          <a:alpha val="70000"/>
                        </a:srgbClr>
                      </a:solidFill>
                    </a:ln>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'Q3'!$B$60:$B$71</c:f>
              <c:strCache>
                <c:ptCount val="12"/>
                <c:pt idx="0">
                  <c:v>Jun-2022</c:v>
                </c:pt>
                <c:pt idx="1">
                  <c:v>Jul-2022</c:v>
                </c:pt>
                <c:pt idx="2">
                  <c:v>Aug-2022</c:v>
                </c:pt>
                <c:pt idx="3">
                  <c:v>Sep-2022</c:v>
                </c:pt>
                <c:pt idx="4">
                  <c:v>Oct-2022</c:v>
                </c:pt>
                <c:pt idx="5">
                  <c:v>Nov-2022</c:v>
                </c:pt>
                <c:pt idx="6">
                  <c:v>Dec-2022</c:v>
                </c:pt>
                <c:pt idx="7">
                  <c:v>Jan-2023</c:v>
                </c:pt>
                <c:pt idx="8">
                  <c:v>Feb-2023</c:v>
                </c:pt>
                <c:pt idx="9">
                  <c:v>Mar-2023</c:v>
                </c:pt>
                <c:pt idx="10">
                  <c:v>Apr-2023</c:v>
                </c:pt>
                <c:pt idx="11">
                  <c:v>May-2023</c:v>
                </c:pt>
              </c:strCache>
            </c:strRef>
          </c:cat>
          <c:val>
            <c:numRef>
              <c:f>'Q3'!$C$60:$C$71</c:f>
              <c:numCache>
                <c:formatCode>0.00%</c:formatCode>
                <c:ptCount val="12"/>
                <c:pt idx="0">
                  <c:v>9.6551104724268005E-3</c:v>
                </c:pt>
                <c:pt idx="1">
                  <c:v>1.86807810345586E-3</c:v>
                </c:pt>
                <c:pt idx="2">
                  <c:v>1.46503884572685E-3</c:v>
                </c:pt>
                <c:pt idx="3">
                  <c:v>5.3196205337354601E-3</c:v>
                </c:pt>
                <c:pt idx="4">
                  <c:v>7.3639650762853098E-3</c:v>
                </c:pt>
                <c:pt idx="5">
                  <c:v>1.4007441453271301E-3</c:v>
                </c:pt>
                <c:pt idx="6">
                  <c:v>-4.6334746688813698E-3</c:v>
                </c:pt>
                <c:pt idx="7">
                  <c:v>2.6788459004876198E-3</c:v>
                </c:pt>
                <c:pt idx="8">
                  <c:v>-7.6646811492643904E-3</c:v>
                </c:pt>
                <c:pt idx="9">
                  <c:v>4.4136469965292803E-5</c:v>
                </c:pt>
                <c:pt idx="10">
                  <c:v>3.70729984994246E-3</c:v>
                </c:pt>
                <c:pt idx="11">
                  <c:v>7.2552985665292899E-3</c:v>
                </c:pt>
              </c:numCache>
            </c:numRef>
          </c:val>
          <c:smooth val="0"/>
          <c:extLst>
            <c:ext xmlns:c16="http://schemas.microsoft.com/office/drawing/2014/chart" uri="{C3380CC4-5D6E-409C-BE32-E72D297353CC}">
              <c16:uniqueId val="{00000000-9912-4F03-A9AE-FD427F0EDB87}"/>
            </c:ext>
          </c:extLst>
        </c:ser>
        <c:dLbls>
          <c:dLblPos val="t"/>
          <c:showLegendKey val="0"/>
          <c:showVal val="1"/>
          <c:showCatName val="0"/>
          <c:showSerName val="0"/>
          <c:showPercent val="0"/>
          <c:showBubbleSize val="0"/>
        </c:dLbls>
        <c:marker val="1"/>
        <c:smooth val="0"/>
        <c:axId val="1514378031"/>
        <c:axId val="1514375631"/>
      </c:lineChart>
      <c:catAx>
        <c:axId val="151437803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4375631"/>
        <c:crosses val="autoZero"/>
        <c:auto val="1"/>
        <c:lblAlgn val="ctr"/>
        <c:lblOffset val="100"/>
        <c:noMultiLvlLbl val="0"/>
      </c:catAx>
      <c:valAx>
        <c:axId val="151437563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4378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 Case_study by Karan Upadhyay.xlsx]Q3!PivotTable16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Categorical</a:t>
            </a:r>
            <a:r>
              <a:rPr lang="en-US" baseline="0"/>
              <a:t> Absolute CPI Change</a:t>
            </a:r>
            <a:endParaRPr lang="en-US"/>
          </a:p>
        </c:rich>
      </c:tx>
      <c:layout>
        <c:manualLayout>
          <c:xMode val="edge"/>
          <c:yMode val="edge"/>
          <c:x val="0.31754896315230696"/>
          <c:y val="2.591861734096413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rgbClr val="FFFF00">
                        <a:alpha val="66000"/>
                      </a:srgbClr>
                    </a:solidFill>
                  </a:ln>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35292162287524"/>
          <c:y val="8.2687033232677259E-2"/>
          <c:w val="0.80344514809628864"/>
          <c:h val="0.84651778799907873"/>
        </c:manualLayout>
      </c:layout>
      <c:barChart>
        <c:barDir val="bar"/>
        <c:grouping val="clustered"/>
        <c:varyColors val="0"/>
        <c:ser>
          <c:idx val="0"/>
          <c:order val="0"/>
          <c:tx>
            <c:strRef>
              <c:f>'Q3'!$H$100</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rgbClr val="FFFF00">
                          <a:alpha val="66000"/>
                        </a:srgbClr>
                      </a:solidFill>
                    </a:ln>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0"/>
              </c:ext>
            </c:extLst>
          </c:dLbls>
          <c:cat>
            <c:strRef>
              <c:f>'Q3'!$G$101:$G$113</c:f>
              <c:strCache>
                <c:ptCount val="13"/>
                <c:pt idx="0">
                  <c:v>Cereals and products</c:v>
                </c:pt>
                <c:pt idx="1">
                  <c:v>Egg</c:v>
                </c:pt>
                <c:pt idx="2">
                  <c:v>Food and beverages</c:v>
                </c:pt>
                <c:pt idx="3">
                  <c:v>Fruits</c:v>
                </c:pt>
                <c:pt idx="4">
                  <c:v>Meat and fish</c:v>
                </c:pt>
                <c:pt idx="5">
                  <c:v>Milk and products</c:v>
                </c:pt>
                <c:pt idx="6">
                  <c:v>Non-alcoholic beverages</c:v>
                </c:pt>
                <c:pt idx="7">
                  <c:v>Oils and fats</c:v>
                </c:pt>
                <c:pt idx="8">
                  <c:v>Prepared meals, snacks, sweets etc.</c:v>
                </c:pt>
                <c:pt idx="9">
                  <c:v>Pulses and products</c:v>
                </c:pt>
                <c:pt idx="10">
                  <c:v>Spices</c:v>
                </c:pt>
                <c:pt idx="11">
                  <c:v>Sugar and Confectionery</c:v>
                </c:pt>
                <c:pt idx="12">
                  <c:v>Vegetables</c:v>
                </c:pt>
              </c:strCache>
            </c:strRef>
          </c:cat>
          <c:val>
            <c:numRef>
              <c:f>'Q3'!$H$101:$H$113</c:f>
              <c:numCache>
                <c:formatCode>General</c:formatCode>
                <c:ptCount val="13"/>
                <c:pt idx="0">
                  <c:v>19.399999999999977</c:v>
                </c:pt>
                <c:pt idx="1">
                  <c:v>1.4000000000000057</c:v>
                </c:pt>
                <c:pt idx="2">
                  <c:v>4.4000000000000057</c:v>
                </c:pt>
                <c:pt idx="3">
                  <c:v>3.1999999999999886</c:v>
                </c:pt>
                <c:pt idx="4">
                  <c:v>-5.6999999999999886</c:v>
                </c:pt>
                <c:pt idx="5">
                  <c:v>14.199999999999989</c:v>
                </c:pt>
                <c:pt idx="6">
                  <c:v>4.5</c:v>
                </c:pt>
                <c:pt idx="7">
                  <c:v>-34.799999999999983</c:v>
                </c:pt>
                <c:pt idx="8">
                  <c:v>9.1999999999999886</c:v>
                </c:pt>
                <c:pt idx="9">
                  <c:v>10.300000000000011</c:v>
                </c:pt>
                <c:pt idx="10">
                  <c:v>32.099999999999994</c:v>
                </c:pt>
                <c:pt idx="11">
                  <c:v>2.8000000000000114</c:v>
                </c:pt>
                <c:pt idx="12">
                  <c:v>-18.600000000000023</c:v>
                </c:pt>
              </c:numCache>
            </c:numRef>
          </c:val>
          <c:extLst>
            <c:ext xmlns:c16="http://schemas.microsoft.com/office/drawing/2014/chart" uri="{C3380CC4-5D6E-409C-BE32-E72D297353CC}">
              <c16:uniqueId val="{00000000-7B74-461D-9C19-C8D8D3F65A84}"/>
            </c:ext>
          </c:extLst>
        </c:ser>
        <c:dLbls>
          <c:dLblPos val="outEnd"/>
          <c:showLegendKey val="0"/>
          <c:showVal val="1"/>
          <c:showCatName val="0"/>
          <c:showSerName val="0"/>
          <c:showPercent val="0"/>
          <c:showBubbleSize val="0"/>
        </c:dLbls>
        <c:gapWidth val="115"/>
        <c:overlap val="-20"/>
        <c:axId val="1519747823"/>
        <c:axId val="1519746383"/>
      </c:barChart>
      <c:catAx>
        <c:axId val="1519747823"/>
        <c:scaling>
          <c:orientation val="minMax"/>
        </c:scaling>
        <c:delete val="0"/>
        <c:axPos val="l"/>
        <c:numFmt formatCode="General" sourceLinked="1"/>
        <c:majorTickMark val="out"/>
        <c:minorTickMark val="none"/>
        <c:tickLblPos val="none"/>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9746383"/>
        <c:crosses val="autoZero"/>
        <c:auto val="1"/>
        <c:lblAlgn val="ctr"/>
        <c:lblOffset val="100"/>
        <c:noMultiLvlLbl val="0"/>
      </c:catAx>
      <c:valAx>
        <c:axId val="151974638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9747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 Case_study by Karan Upadhyay.xlsx]Q4!PivotTable1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Pre COVID </a:t>
            </a:r>
            <a:r>
              <a:rPr lang="en-US">
                <a:solidFill>
                  <a:schemeClr val="tx1"/>
                </a:solidFill>
              </a:rPr>
              <a:t>Inflation</a:t>
            </a:r>
            <a:r>
              <a:rPr lang="en-US"/>
              <a:t> Rate of Major Categories </a:t>
            </a:r>
          </a:p>
        </c:rich>
      </c:tx>
      <c:layout>
        <c:manualLayout>
          <c:xMode val="edge"/>
          <c:yMode val="edge"/>
          <c:x val="0.25782277929536879"/>
          <c:y val="3.669465882087830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'Q4'!$D$87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'Q4'!$C$88:$C$90</c:f>
              <c:strCache>
                <c:ptCount val="3"/>
                <c:pt idx="0">
                  <c:v>Essential Services</c:v>
                </c:pt>
                <c:pt idx="1">
                  <c:v>Food &amp; Beverages</c:v>
                </c:pt>
                <c:pt idx="2">
                  <c:v>HealthCare</c:v>
                </c:pt>
              </c:strCache>
            </c:strRef>
          </c:cat>
          <c:val>
            <c:numRef>
              <c:f>'Q4'!$D$88:$D$90</c:f>
              <c:numCache>
                <c:formatCode>0.00%</c:formatCode>
                <c:ptCount val="3"/>
                <c:pt idx="0">
                  <c:v>6.1309825993711084E-2</c:v>
                </c:pt>
                <c:pt idx="1">
                  <c:v>8.3479737911273569E-2</c:v>
                </c:pt>
                <c:pt idx="2">
                  <c:v>3.7356321839080588E-2</c:v>
                </c:pt>
              </c:numCache>
            </c:numRef>
          </c:val>
          <c:extLst>
            <c:ext xmlns:c16="http://schemas.microsoft.com/office/drawing/2014/chart" uri="{C3380CC4-5D6E-409C-BE32-E72D297353CC}">
              <c16:uniqueId val="{00000000-6252-45A8-8F30-D37B4B0087B9}"/>
            </c:ext>
          </c:extLst>
        </c:ser>
        <c:dLbls>
          <c:dLblPos val="outEnd"/>
          <c:showLegendKey val="0"/>
          <c:showVal val="1"/>
          <c:showCatName val="0"/>
          <c:showSerName val="0"/>
          <c:showPercent val="0"/>
          <c:showBubbleSize val="0"/>
        </c:dLbls>
        <c:gapWidth val="100"/>
        <c:overlap val="-24"/>
        <c:axId val="233264240"/>
        <c:axId val="939387792"/>
      </c:barChart>
      <c:catAx>
        <c:axId val="23326424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39387792"/>
        <c:crosses val="autoZero"/>
        <c:auto val="1"/>
        <c:lblAlgn val="ctr"/>
        <c:lblOffset val="100"/>
        <c:noMultiLvlLbl val="0"/>
      </c:catAx>
      <c:valAx>
        <c:axId val="939387792"/>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326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 Case_study by Karan Upadhyay.xlsx]Q4!PivotTable2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Post COVID Inflation Rate of Major Categories</a:t>
            </a:r>
          </a:p>
        </c:rich>
      </c:tx>
      <c:layout>
        <c:manualLayout>
          <c:xMode val="edge"/>
          <c:yMode val="edge"/>
          <c:x val="0.23254535712610977"/>
          <c:y val="4.642620253233074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'Q4'!$L$87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'Q4'!$K$88:$K$90</c:f>
              <c:strCache>
                <c:ptCount val="3"/>
                <c:pt idx="0">
                  <c:v>Essential Services</c:v>
                </c:pt>
                <c:pt idx="1">
                  <c:v>Food &amp; Beverages</c:v>
                </c:pt>
                <c:pt idx="2">
                  <c:v>HealthCare</c:v>
                </c:pt>
              </c:strCache>
            </c:strRef>
          </c:cat>
          <c:val>
            <c:numRef>
              <c:f>'Q4'!$L$88:$L$90</c:f>
              <c:numCache>
                <c:formatCode>0.00%</c:formatCode>
                <c:ptCount val="3"/>
                <c:pt idx="0">
                  <c:v>9.103189612701236E-2</c:v>
                </c:pt>
                <c:pt idx="1">
                  <c:v>8.8131680698454604E-2</c:v>
                </c:pt>
                <c:pt idx="2">
                  <c:v>7.7931034482758704E-2</c:v>
                </c:pt>
              </c:numCache>
            </c:numRef>
          </c:val>
          <c:extLst>
            <c:ext xmlns:c16="http://schemas.microsoft.com/office/drawing/2014/chart" uri="{C3380CC4-5D6E-409C-BE32-E72D297353CC}">
              <c16:uniqueId val="{00000000-CA6E-4E7F-988E-1BD4620209A2}"/>
            </c:ext>
          </c:extLst>
        </c:ser>
        <c:dLbls>
          <c:showLegendKey val="0"/>
          <c:showVal val="0"/>
          <c:showCatName val="0"/>
          <c:showSerName val="0"/>
          <c:showPercent val="0"/>
          <c:showBubbleSize val="0"/>
        </c:dLbls>
        <c:gapWidth val="100"/>
        <c:overlap val="-24"/>
        <c:axId val="286456912"/>
        <c:axId val="286458352"/>
      </c:barChart>
      <c:catAx>
        <c:axId val="2864569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458352"/>
        <c:crosses val="autoZero"/>
        <c:auto val="1"/>
        <c:lblAlgn val="ctr"/>
        <c:lblOffset val="100"/>
        <c:noMultiLvlLbl val="0"/>
      </c:catAx>
      <c:valAx>
        <c:axId val="2864583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45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 Case_study by Karan Upadhyay.xlsx]Q5!PivotTable2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Correlation</a:t>
            </a:r>
            <a:r>
              <a:rPr lang="en-US" baseline="0"/>
              <a:t> of Inflation B/w Crude oil and other Categories</a:t>
            </a:r>
            <a:endParaRPr lang="en-US"/>
          </a:p>
        </c:rich>
      </c:tx>
      <c:layout>
        <c:manualLayout>
          <c:xMode val="edge"/>
          <c:yMode val="edge"/>
          <c:x val="0.15924018837309459"/>
          <c:y val="2.996302844017157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solidFill>
                      <a:schemeClr val="bg1">
                        <a:alpha val="50000"/>
                      </a:schemeClr>
                    </a:solidFill>
                  </a:ln>
                  <a:solidFill>
                    <a:schemeClr val="lt1">
                      <a:lumMod val="8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layout>
                <c:manualLayout>
                  <c:w val="0.20385250245159248"/>
                  <c:h val="2.8006675072531902E-2"/>
                </c:manualLayout>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solidFill>
                      <a:schemeClr val="bg1">
                        <a:alpha val="50000"/>
                      </a:schemeClr>
                    </a:solidFill>
                  </a:ln>
                  <a:solidFill>
                    <a:schemeClr val="lt1">
                      <a:lumMod val="8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layout>
                <c:manualLayout>
                  <c:w val="0.23720780367769326"/>
                  <c:h val="2.3327197199092993E-2"/>
                </c:manualLayout>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solidFill>
                      <a:schemeClr val="bg1">
                        <a:alpha val="50000"/>
                      </a:schemeClr>
                    </a:solidFill>
                  </a:ln>
                  <a:solidFill>
                    <a:schemeClr val="lt1">
                      <a:lumMod val="8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layout>
                <c:manualLayout>
                  <c:w val="0.27376570694181351"/>
                  <c:h val="3.0346414009251366E-2"/>
                </c:manualLayout>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solidFill>
                      <a:schemeClr val="bg1">
                        <a:alpha val="50000"/>
                      </a:schemeClr>
                    </a:solidFill>
                  </a:ln>
                  <a:solidFill>
                    <a:schemeClr val="lt1">
                      <a:lumMod val="8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layout>
                <c:manualLayout>
                  <c:w val="0.23193234213876315"/>
                  <c:h val="4.2045108692848651E-2"/>
                </c:manualLayout>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solidFill>
                      <a:schemeClr val="bg1">
                        <a:alpha val="50000"/>
                      </a:schemeClr>
                    </a:solidFill>
                  </a:ln>
                  <a:solidFill>
                    <a:schemeClr val="lt1">
                      <a:lumMod val="8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layout>
                <c:manualLayout>
                  <c:w val="0.23849968631798218"/>
                  <c:h val="3.2686152945970826E-2"/>
                </c:manualLayout>
              </c15:layout>
            </c:ext>
          </c:extLst>
        </c:dLbl>
      </c:pivotFmt>
    </c:pivotFmts>
    <c:plotArea>
      <c:layout>
        <c:manualLayout>
          <c:layoutTarget val="inner"/>
          <c:xMode val="edge"/>
          <c:yMode val="edge"/>
          <c:x val="0.11606161567557363"/>
          <c:y val="0.12945425497185312"/>
          <c:w val="0.81726359644047042"/>
          <c:h val="0.80154463300734213"/>
        </c:manualLayout>
      </c:layout>
      <c:barChart>
        <c:barDir val="bar"/>
        <c:grouping val="clustered"/>
        <c:varyColors val="0"/>
        <c:ser>
          <c:idx val="0"/>
          <c:order val="0"/>
          <c:tx>
            <c:strRef>
              <c:f>'Q5'!$C$242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666C-469B-BA76-ED3D839945A9}"/>
              </c:ext>
            </c:extLst>
          </c:dPt>
          <c:dPt>
            <c:idx val="6"/>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19E2-4386-A4B0-B1852F4EE7EE}"/>
              </c:ext>
            </c:extLst>
          </c:dPt>
          <c:dPt>
            <c:idx val="7"/>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666C-469B-BA76-ED3D839945A9}"/>
              </c:ext>
            </c:extLst>
          </c:dPt>
          <c:dPt>
            <c:idx val="1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9E2-4386-A4B0-B1852F4EE7EE}"/>
              </c:ext>
            </c:extLst>
          </c:dPt>
          <c:dPt>
            <c:idx val="1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19E2-4386-A4B0-B1852F4EE7EE}"/>
              </c:ext>
            </c:extLst>
          </c:dPt>
          <c:dLbls>
            <c:dLbl>
              <c:idx val="4"/>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solidFill>
                          <a:schemeClr val="bg1">
                            <a:alpha val="50000"/>
                          </a:schemeClr>
                        </a:solidFill>
                      </a:ln>
                      <a:solidFill>
                        <a:schemeClr val="lt1">
                          <a:lumMod val="8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layout>
                    <c:manualLayout>
                      <c:w val="0.20385250245159248"/>
                      <c:h val="2.8006675072531902E-2"/>
                    </c:manualLayout>
                  </c15:layout>
                </c:ext>
                <c:ext xmlns:c16="http://schemas.microsoft.com/office/drawing/2014/chart" uri="{C3380CC4-5D6E-409C-BE32-E72D297353CC}">
                  <c16:uniqueId val="{00000002-666C-469B-BA76-ED3D839945A9}"/>
                </c:ext>
              </c:extLst>
            </c:dLbl>
            <c:dLbl>
              <c:idx val="6"/>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solidFill>
                          <a:schemeClr val="bg1">
                            <a:alpha val="50000"/>
                          </a:schemeClr>
                        </a:solidFill>
                      </a:ln>
                      <a:solidFill>
                        <a:schemeClr val="lt1">
                          <a:lumMod val="8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layout>
                    <c:manualLayout>
                      <c:w val="0.23849968631798218"/>
                      <c:h val="3.2686152945970826E-2"/>
                    </c:manualLayout>
                  </c15:layout>
                </c:ext>
                <c:ext xmlns:c16="http://schemas.microsoft.com/office/drawing/2014/chart" uri="{C3380CC4-5D6E-409C-BE32-E72D297353CC}">
                  <c16:uniqueId val="{00000000-19E2-4386-A4B0-B1852F4EE7EE}"/>
                </c:ext>
              </c:extLst>
            </c:dLbl>
            <c:dLbl>
              <c:idx val="7"/>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solidFill>
                          <a:schemeClr val="bg1">
                            <a:alpha val="50000"/>
                          </a:schemeClr>
                        </a:solidFill>
                      </a:ln>
                      <a:solidFill>
                        <a:schemeClr val="lt1">
                          <a:lumMod val="8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layout>
                    <c:manualLayout>
                      <c:w val="0.23720780367769326"/>
                      <c:h val="2.3327197199092993E-2"/>
                    </c:manualLayout>
                  </c15:layout>
                </c:ext>
                <c:ext xmlns:c16="http://schemas.microsoft.com/office/drawing/2014/chart" uri="{C3380CC4-5D6E-409C-BE32-E72D297353CC}">
                  <c16:uniqueId val="{00000004-666C-469B-BA76-ED3D839945A9}"/>
                </c:ext>
              </c:extLst>
            </c:dLbl>
            <c:dLbl>
              <c:idx val="1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solidFill>
                          <a:schemeClr val="bg1">
                            <a:alpha val="50000"/>
                          </a:schemeClr>
                        </a:solidFill>
                      </a:ln>
                      <a:solidFill>
                        <a:schemeClr val="lt1">
                          <a:lumMod val="8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layout>
                    <c:manualLayout>
                      <c:w val="0.27376570694181351"/>
                      <c:h val="3.0346414009251366E-2"/>
                    </c:manualLayout>
                  </c15:layout>
                </c:ext>
                <c:ext xmlns:c16="http://schemas.microsoft.com/office/drawing/2014/chart" uri="{C3380CC4-5D6E-409C-BE32-E72D297353CC}">
                  <c16:uniqueId val="{00000001-19E2-4386-A4B0-B1852F4EE7EE}"/>
                </c:ext>
              </c:extLst>
            </c:dLbl>
            <c:dLbl>
              <c:idx val="18"/>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solidFill>
                          <a:schemeClr val="bg1">
                            <a:alpha val="50000"/>
                          </a:schemeClr>
                        </a:solidFill>
                      </a:ln>
                      <a:solidFill>
                        <a:schemeClr val="lt1">
                          <a:lumMod val="8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layout>
                    <c:manualLayout>
                      <c:w val="0.23193234213876315"/>
                      <c:h val="4.2045108692848651E-2"/>
                    </c:manualLayout>
                  </c15:layout>
                </c:ext>
                <c:ext xmlns:c16="http://schemas.microsoft.com/office/drawing/2014/chart" uri="{C3380CC4-5D6E-409C-BE32-E72D297353CC}">
                  <c16:uniqueId val="{00000002-19E2-4386-A4B0-B1852F4EE7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'Q5'!$B$243:$B$268</c:f>
              <c:strCache>
                <c:ptCount val="26"/>
                <c:pt idx="0">
                  <c:v>Meat and fish</c:v>
                </c:pt>
                <c:pt idx="1">
                  <c:v>Oils and fats</c:v>
                </c:pt>
                <c:pt idx="2">
                  <c:v>Non-alcoholic beverages</c:v>
                </c:pt>
                <c:pt idx="3">
                  <c:v>Fuel and light</c:v>
                </c:pt>
                <c:pt idx="4">
                  <c:v>Pan, tobacco and intoxicants</c:v>
                </c:pt>
                <c:pt idx="5">
                  <c:v>Footwear</c:v>
                </c:pt>
                <c:pt idx="6">
                  <c:v>Transport and communication</c:v>
                </c:pt>
                <c:pt idx="7">
                  <c:v>Recreation and amusement</c:v>
                </c:pt>
                <c:pt idx="8">
                  <c:v>Fruits</c:v>
                </c:pt>
                <c:pt idx="9">
                  <c:v>Housing</c:v>
                </c:pt>
                <c:pt idx="10">
                  <c:v>Prepared meals, snacks, sweets etc.</c:v>
                </c:pt>
                <c:pt idx="11">
                  <c:v>Miscellaneous</c:v>
                </c:pt>
                <c:pt idx="12">
                  <c:v>Clothing and footwear</c:v>
                </c:pt>
                <c:pt idx="13">
                  <c:v>Clothing</c:v>
                </c:pt>
                <c:pt idx="14">
                  <c:v>Health</c:v>
                </c:pt>
                <c:pt idx="15">
                  <c:v>Food and beverages</c:v>
                </c:pt>
                <c:pt idx="16">
                  <c:v>Personal care and effects</c:v>
                </c:pt>
                <c:pt idx="17">
                  <c:v>Vegetables</c:v>
                </c:pt>
                <c:pt idx="18">
                  <c:v>Household goods and services</c:v>
                </c:pt>
                <c:pt idx="19">
                  <c:v>Education</c:v>
                </c:pt>
                <c:pt idx="20">
                  <c:v>Spices</c:v>
                </c:pt>
                <c:pt idx="21">
                  <c:v>Egg</c:v>
                </c:pt>
                <c:pt idx="22">
                  <c:v>Sugar and Confectionery</c:v>
                </c:pt>
                <c:pt idx="23">
                  <c:v>Pulses and products</c:v>
                </c:pt>
                <c:pt idx="24">
                  <c:v>Milk and products</c:v>
                </c:pt>
                <c:pt idx="25">
                  <c:v>Cereals and products</c:v>
                </c:pt>
              </c:strCache>
            </c:strRef>
          </c:cat>
          <c:val>
            <c:numRef>
              <c:f>'Q5'!$C$243:$C$268</c:f>
              <c:numCache>
                <c:formatCode>0.00%</c:formatCode>
                <c:ptCount val="26"/>
                <c:pt idx="0">
                  <c:v>0.43192676344230313</c:v>
                </c:pt>
                <c:pt idx="1">
                  <c:v>0.41018372924887608</c:v>
                </c:pt>
                <c:pt idx="2">
                  <c:v>0.21297882367943582</c:v>
                </c:pt>
                <c:pt idx="3">
                  <c:v>0.16035398817855198</c:v>
                </c:pt>
                <c:pt idx="4">
                  <c:v>0.13834791316446937</c:v>
                </c:pt>
                <c:pt idx="5">
                  <c:v>0.12573720254896992</c:v>
                </c:pt>
                <c:pt idx="6">
                  <c:v>0.12208683915414072</c:v>
                </c:pt>
                <c:pt idx="7">
                  <c:v>9.930169965336276E-2</c:v>
                </c:pt>
                <c:pt idx="8">
                  <c:v>8.5663233999133476E-2</c:v>
                </c:pt>
                <c:pt idx="9">
                  <c:v>8.038447547698796E-2</c:v>
                </c:pt>
                <c:pt idx="10">
                  <c:v>7.4899587005580276E-2</c:v>
                </c:pt>
                <c:pt idx="11">
                  <c:v>7.3053531301710647E-2</c:v>
                </c:pt>
                <c:pt idx="12">
                  <c:v>6.7783366543956267E-2</c:v>
                </c:pt>
                <c:pt idx="13">
                  <c:v>4.4761177699084768E-2</c:v>
                </c:pt>
                <c:pt idx="14">
                  <c:v>3.3186532208274007E-2</c:v>
                </c:pt>
                <c:pt idx="15">
                  <c:v>3.2087377523662787E-2</c:v>
                </c:pt>
                <c:pt idx="16">
                  <c:v>-4.093782982827315E-3</c:v>
                </c:pt>
                <c:pt idx="17">
                  <c:v>-1.0400312233639294E-2</c:v>
                </c:pt>
                <c:pt idx="18">
                  <c:v>-6.2288794200627752E-2</c:v>
                </c:pt>
                <c:pt idx="19">
                  <c:v>-0.15297053451068848</c:v>
                </c:pt>
                <c:pt idx="20">
                  <c:v>-0.18311410467733549</c:v>
                </c:pt>
                <c:pt idx="21">
                  <c:v>-0.20662116893856389</c:v>
                </c:pt>
                <c:pt idx="22">
                  <c:v>-0.22221165240518317</c:v>
                </c:pt>
                <c:pt idx="23">
                  <c:v>-0.22634574388345158</c:v>
                </c:pt>
                <c:pt idx="24">
                  <c:v>-0.28372710484748542</c:v>
                </c:pt>
                <c:pt idx="25">
                  <c:v>-0.29489047860650452</c:v>
                </c:pt>
              </c:numCache>
            </c:numRef>
          </c:val>
          <c:extLst>
            <c:ext xmlns:c16="http://schemas.microsoft.com/office/drawing/2014/chart" uri="{C3380CC4-5D6E-409C-BE32-E72D297353CC}">
              <c16:uniqueId val="{00000000-666C-469B-BA76-ED3D839945A9}"/>
            </c:ext>
          </c:extLst>
        </c:ser>
        <c:dLbls>
          <c:dLblPos val="outEnd"/>
          <c:showLegendKey val="0"/>
          <c:showVal val="1"/>
          <c:showCatName val="0"/>
          <c:showSerName val="0"/>
          <c:showPercent val="0"/>
          <c:showBubbleSize val="0"/>
        </c:dLbls>
        <c:gapWidth val="100"/>
        <c:axId val="1188115679"/>
        <c:axId val="1188114239"/>
      </c:barChart>
      <c:catAx>
        <c:axId val="1188115679"/>
        <c:scaling>
          <c:orientation val="minMax"/>
        </c:scaling>
        <c:delete val="1"/>
        <c:axPos val="l"/>
        <c:numFmt formatCode="General" sourceLinked="1"/>
        <c:majorTickMark val="none"/>
        <c:minorTickMark val="none"/>
        <c:tickLblPos val="nextTo"/>
        <c:crossAx val="1188114239"/>
        <c:crosses val="autoZero"/>
        <c:auto val="1"/>
        <c:lblAlgn val="ctr"/>
        <c:lblOffset val="100"/>
        <c:noMultiLvlLbl val="0"/>
      </c:catAx>
      <c:valAx>
        <c:axId val="1188114239"/>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8115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Crude</a:t>
            </a:r>
            <a:r>
              <a:rPr lang="en-US" baseline="0"/>
              <a:t> Oil Price Inflation</a:t>
            </a:r>
            <a:endParaRPr lang="en-IN" sz="1600" b="1" i="0" u="none" strike="noStrike" baseline="0">
              <a:effectLst/>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'Q5'!$D$197</c:f>
              <c:strCache>
                <c:ptCount val="1"/>
                <c:pt idx="0">
                  <c:v>Crude INF</c:v>
                </c:pt>
              </c:strCache>
            </c:strRef>
          </c:tx>
          <c:spPr>
            <a:ln w="95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cap="rnd">
                <a:solidFill>
                  <a:schemeClr val="accent6"/>
                </a:solidFill>
                <a:round/>
              </a:ln>
              <a:effectLst>
                <a:outerShdw blurRad="57150" dist="19050" dir="5400000" algn="ctr" rotWithShape="0">
                  <a:srgbClr val="000000">
                    <a:alpha val="63000"/>
                  </a:srgbClr>
                </a:outerShdw>
              </a:effectLst>
            </c:spPr>
          </c:marker>
          <c:dLbls>
            <c:dLbl>
              <c:idx val="10"/>
              <c:layout>
                <c:manualLayout>
                  <c:x val="-6.71818397345635E-2"/>
                  <c:y val="-2.516455281761139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A5-4518-9E48-B35841E207F2}"/>
                </c:ext>
              </c:extLst>
            </c:dLbl>
            <c:dLbl>
              <c:idx val="19"/>
              <c:layout>
                <c:manualLayout>
                  <c:x val="-3.2611424776812253E-2"/>
                  <c:y val="2.5373176044064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A5-4518-9E48-B35841E207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alpha val="54000"/>
                        </a:schemeClr>
                      </a:solidFill>
                    </a:ln>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xVal>
            <c:numRef>
              <c:f>'Q5'!$B$198:$B$226</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xVal>
          <c:yVal>
            <c:numRef>
              <c:f>'Q5'!$D$198:$D$226</c:f>
              <c:numCache>
                <c:formatCode>0.00%</c:formatCode>
                <c:ptCount val="29"/>
                <c:pt idx="0">
                  <c:v>9.1700000000000004E-2</c:v>
                </c:pt>
                <c:pt idx="1">
                  <c:v>0.1227</c:v>
                </c:pt>
                <c:pt idx="2">
                  <c:v>5.6099999999999997E-2</c:v>
                </c:pt>
                <c:pt idx="3">
                  <c:v>8.2000000000000007E-3</c:v>
                </c:pt>
                <c:pt idx="4">
                  <c:v>3.9800000000000002E-2</c:v>
                </c:pt>
                <c:pt idx="5">
                  <c:v>8.43E-2</c:v>
                </c:pt>
                <c:pt idx="6">
                  <c:v>3.4000000000000002E-2</c:v>
                </c:pt>
                <c:pt idx="7">
                  <c:v>-6.4500000000000002E-2</c:v>
                </c:pt>
                <c:pt idx="8">
                  <c:v>4.9000000000000002E-2</c:v>
                </c:pt>
                <c:pt idx="9">
                  <c:v>0.1469</c:v>
                </c:pt>
                <c:pt idx="10">
                  <c:v>-3.15E-2</c:v>
                </c:pt>
                <c:pt idx="11">
                  <c:v>-7.5300000000000006E-2</c:v>
                </c:pt>
                <c:pt idx="12">
                  <c:v>0.13500000000000001</c:v>
                </c:pt>
                <c:pt idx="13">
                  <c:v>0.1234</c:v>
                </c:pt>
                <c:pt idx="14">
                  <c:v>0.221</c:v>
                </c:pt>
                <c:pt idx="15">
                  <c:v>-8.0699999999999994E-2</c:v>
                </c:pt>
                <c:pt idx="16">
                  <c:v>8.0500000000000002E-2</c:v>
                </c:pt>
                <c:pt idx="17">
                  <c:v>7.1400000000000005E-2</c:v>
                </c:pt>
                <c:pt idx="18">
                  <c:v>-8.2600000000000007E-2</c:v>
                </c:pt>
                <c:pt idx="19">
                  <c:v>-8.7400000000000005E-2</c:v>
                </c:pt>
                <c:pt idx="20">
                  <c:v>-7.2800000000000004E-2</c:v>
                </c:pt>
                <c:pt idx="21">
                  <c:v>5.0500000000000003E-2</c:v>
                </c:pt>
                <c:pt idx="22">
                  <c:v>-3.8600000000000002E-2</c:v>
                </c:pt>
                <c:pt idx="23">
                  <c:v>-0.1007</c:v>
                </c:pt>
                <c:pt idx="24">
                  <c:v>2.41E-2</c:v>
                </c:pt>
                <c:pt idx="25">
                  <c:v>6.7000000000000002E-3</c:v>
                </c:pt>
                <c:pt idx="26">
                  <c:v>-5.0700000000000002E-2</c:v>
                </c:pt>
                <c:pt idx="27">
                  <c:v>7.4800000000000005E-2</c:v>
                </c:pt>
                <c:pt idx="28">
                  <c:v>-9.7699999999999995E-2</c:v>
                </c:pt>
              </c:numCache>
            </c:numRef>
          </c:yVal>
          <c:smooth val="0"/>
          <c:extLst>
            <c:ext xmlns:c16="http://schemas.microsoft.com/office/drawing/2014/chart" uri="{C3380CC4-5D6E-409C-BE32-E72D297353CC}">
              <c16:uniqueId val="{00000000-92A5-4518-9E48-B35841E207F2}"/>
            </c:ext>
          </c:extLst>
        </c:ser>
        <c:dLbls>
          <c:dLblPos val="t"/>
          <c:showLegendKey val="0"/>
          <c:showVal val="1"/>
          <c:showCatName val="0"/>
          <c:showSerName val="0"/>
          <c:showPercent val="0"/>
          <c:showBubbleSize val="0"/>
        </c:dLbls>
        <c:axId val="1879042335"/>
        <c:axId val="1879040415"/>
      </c:scatterChart>
      <c:valAx>
        <c:axId val="1879042335"/>
        <c:scaling>
          <c:orientation val="minMax"/>
        </c:scaling>
        <c:delete val="0"/>
        <c:axPos val="b"/>
        <c:majorGridlines>
          <c:spPr>
            <a:ln w="9525" cap="flat" cmpd="sng" algn="ctr">
              <a:solidFill>
                <a:schemeClr val="lt1">
                  <a:lumMod val="95000"/>
                  <a:alpha val="10000"/>
                </a:schemeClr>
              </a:solidFill>
              <a:round/>
            </a:ln>
            <a:effectLst/>
          </c:spPr>
        </c:majorGridlines>
        <c:numFmt formatCode="mmm\-yy" sourceLinked="1"/>
        <c:majorTickMark val="none"/>
        <c:minorTickMark val="none"/>
        <c:tickLblPos val="nextTo"/>
        <c:spPr>
          <a:noFill/>
          <a:ln w="9525" cap="flat" cmpd="sng" algn="ctr">
            <a:noFill/>
          </a:ln>
          <a:effectLst/>
        </c:spPr>
        <c:txPr>
          <a:bodyPr rot="0" spcFirstLastPara="1" vertOverflow="ellipsis" wrap="square" anchor="ctr" anchorCtr="1"/>
          <a:lstStyle/>
          <a:p>
            <a:pPr>
              <a:defRPr sz="900" b="0" i="0" u="none" strike="noStrike" kern="1200" baseline="0">
                <a:ln>
                  <a:noFill/>
                </a:ln>
                <a:solidFill>
                  <a:schemeClr val="lt1">
                    <a:lumMod val="75000"/>
                  </a:schemeClr>
                </a:solidFill>
                <a:latin typeface="+mn-lt"/>
                <a:ea typeface="+mn-ea"/>
                <a:cs typeface="+mn-cs"/>
              </a:defRPr>
            </a:pPr>
            <a:endParaRPr lang="en-US"/>
          </a:p>
        </c:txPr>
        <c:crossAx val="1879040415"/>
        <c:crosses val="autoZero"/>
        <c:crossBetween val="midCat"/>
      </c:valAx>
      <c:valAx>
        <c:axId val="187904041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79042335"/>
        <c:crosses val="autoZero"/>
        <c:crossBetween val="midCat"/>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6</xdr:col>
      <xdr:colOff>612320</xdr:colOff>
      <xdr:row>39</xdr:row>
      <xdr:rowOff>63952</xdr:rowOff>
    </xdr:from>
    <xdr:to>
      <xdr:col>19</xdr:col>
      <xdr:colOff>612320</xdr:colOff>
      <xdr:row>73</xdr:row>
      <xdr:rowOff>149677</xdr:rowOff>
    </xdr:to>
    <xdr:graphicFrame macro="">
      <xdr:nvGraphicFramePr>
        <xdr:cNvPr id="3" name="Chart 2">
          <a:extLst>
            <a:ext uri="{FF2B5EF4-FFF2-40B4-BE49-F238E27FC236}">
              <a16:creationId xmlns:a16="http://schemas.microsoft.com/office/drawing/2014/main" id="{AEE71B7E-7D78-6B34-8CCA-CAFF99E05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216353</xdr:colOff>
      <xdr:row>19</xdr:row>
      <xdr:rowOff>163285</xdr:rowOff>
    </xdr:from>
    <xdr:to>
      <xdr:col>17</xdr:col>
      <xdr:colOff>530678</xdr:colOff>
      <xdr:row>26</xdr:row>
      <xdr:rowOff>27213</xdr:rowOff>
    </xdr:to>
    <mc:AlternateContent xmlns:mc="http://schemas.openxmlformats.org/markup-compatibility/2006" xmlns:a14="http://schemas.microsoft.com/office/drawing/2010/main">
      <mc:Choice Requires="a14">
        <xdr:graphicFrame macro="">
          <xdr:nvGraphicFramePr>
            <xdr:cNvPr id="4" name="Sector">
              <a:extLst>
                <a:ext uri="{FF2B5EF4-FFF2-40B4-BE49-F238E27FC236}">
                  <a16:creationId xmlns:a16="http://schemas.microsoft.com/office/drawing/2014/main" id="{6015BE30-2F59-E793-92E4-CB0FEBA93519}"/>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15755710" y="4122964"/>
              <a:ext cx="2668361" cy="12926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333375</xdr:colOff>
      <xdr:row>8</xdr:row>
      <xdr:rowOff>114300</xdr:rowOff>
    </xdr:from>
    <xdr:to>
      <xdr:col>16</xdr:col>
      <xdr:colOff>85725</xdr:colOff>
      <xdr:row>30</xdr:row>
      <xdr:rowOff>19050</xdr:rowOff>
    </xdr:to>
    <xdr:graphicFrame macro="">
      <xdr:nvGraphicFramePr>
        <xdr:cNvPr id="2" name="Chart 1">
          <a:extLst>
            <a:ext uri="{FF2B5EF4-FFF2-40B4-BE49-F238E27FC236}">
              <a16:creationId xmlns:a16="http://schemas.microsoft.com/office/drawing/2014/main" id="{CC33AE8B-22AE-14A4-0EBD-C8E3D40FE0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311107</xdr:colOff>
      <xdr:row>52</xdr:row>
      <xdr:rowOff>133596</xdr:rowOff>
    </xdr:from>
    <xdr:to>
      <xdr:col>10</xdr:col>
      <xdr:colOff>813955</xdr:colOff>
      <xdr:row>79</xdr:row>
      <xdr:rowOff>86590</xdr:rowOff>
    </xdr:to>
    <xdr:graphicFrame macro="">
      <xdr:nvGraphicFramePr>
        <xdr:cNvPr id="3" name="Chart 2">
          <a:extLst>
            <a:ext uri="{FF2B5EF4-FFF2-40B4-BE49-F238E27FC236}">
              <a16:creationId xmlns:a16="http://schemas.microsoft.com/office/drawing/2014/main" id="{765865EA-D2B0-81C6-496F-CE5367C10A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18555</xdr:colOff>
      <xdr:row>55</xdr:row>
      <xdr:rowOff>46510</xdr:rowOff>
    </xdr:from>
    <xdr:to>
      <xdr:col>12</xdr:col>
      <xdr:colOff>2008044</xdr:colOff>
      <xdr:row>62</xdr:row>
      <xdr:rowOff>51953</xdr:rowOff>
    </xdr:to>
    <mc:AlternateContent xmlns:mc="http://schemas.openxmlformats.org/markup-compatibility/2006" xmlns:a14="http://schemas.microsoft.com/office/drawing/2010/main">
      <mc:Choice Requires="a14">
        <xdr:graphicFrame macro="">
          <xdr:nvGraphicFramePr>
            <xdr:cNvPr id="4" name="Sector 1">
              <a:extLst>
                <a:ext uri="{FF2B5EF4-FFF2-40B4-BE49-F238E27FC236}">
                  <a16:creationId xmlns:a16="http://schemas.microsoft.com/office/drawing/2014/main" id="{2F7096BC-76C3-1762-BA86-BDC0165FC034}"/>
                </a:ext>
              </a:extLst>
            </xdr:cNvPr>
            <xdr:cNvGraphicFramePr/>
          </xdr:nvGraphicFramePr>
          <xdr:xfrm>
            <a:off x="0" y="0"/>
            <a:ext cx="0" cy="0"/>
          </xdr:xfrm>
          <a:graphic>
            <a:graphicData uri="http://schemas.microsoft.com/office/drawing/2010/slicer">
              <sle:slicer xmlns:sle="http://schemas.microsoft.com/office/drawing/2010/slicer" name="Sector 1"/>
            </a:graphicData>
          </a:graphic>
        </xdr:graphicFrame>
      </mc:Choice>
      <mc:Fallback xmlns="">
        <xdr:sp macro="" textlink="">
          <xdr:nvSpPr>
            <xdr:cNvPr id="0" name=""/>
            <xdr:cNvSpPr>
              <a:spLocks noTextEdit="1"/>
            </xdr:cNvSpPr>
          </xdr:nvSpPr>
          <xdr:spPr>
            <a:xfrm>
              <a:off x="19605419" y="7908965"/>
              <a:ext cx="2928134" cy="13389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828218</xdr:colOff>
      <xdr:row>96</xdr:row>
      <xdr:rowOff>121226</xdr:rowOff>
    </xdr:from>
    <xdr:to>
      <xdr:col>13</xdr:col>
      <xdr:colOff>1766455</xdr:colOff>
      <xdr:row>126</xdr:row>
      <xdr:rowOff>69272</xdr:rowOff>
    </xdr:to>
    <xdr:graphicFrame macro="">
      <xdr:nvGraphicFramePr>
        <xdr:cNvPr id="5" name="Chart 4">
          <a:extLst>
            <a:ext uri="{FF2B5EF4-FFF2-40B4-BE49-F238E27FC236}">
              <a16:creationId xmlns:a16="http://schemas.microsoft.com/office/drawing/2014/main" id="{DC95566F-2D45-B969-4FDA-3870B629C4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623453</xdr:colOff>
      <xdr:row>117</xdr:row>
      <xdr:rowOff>41563</xdr:rowOff>
    </xdr:from>
    <xdr:to>
      <xdr:col>7</xdr:col>
      <xdr:colOff>135947</xdr:colOff>
      <xdr:row>123</xdr:row>
      <xdr:rowOff>173181</xdr:rowOff>
    </xdr:to>
    <mc:AlternateContent xmlns:mc="http://schemas.openxmlformats.org/markup-compatibility/2006">
      <mc:Choice xmlns:a14="http://schemas.microsoft.com/office/drawing/2010/main" Requires="a14">
        <xdr:graphicFrame macro="">
          <xdr:nvGraphicFramePr>
            <xdr:cNvPr id="6" name="Sector 2">
              <a:extLst>
                <a:ext uri="{FF2B5EF4-FFF2-40B4-BE49-F238E27FC236}">
                  <a16:creationId xmlns:a16="http://schemas.microsoft.com/office/drawing/2014/main" id="{B0FDD0F0-01BE-1C1D-0092-80C99D112CAD}"/>
                </a:ext>
              </a:extLst>
            </xdr:cNvPr>
            <xdr:cNvGraphicFramePr/>
          </xdr:nvGraphicFramePr>
          <xdr:xfrm>
            <a:off x="0" y="0"/>
            <a:ext cx="0" cy="0"/>
          </xdr:xfrm>
          <a:graphic>
            <a:graphicData uri="http://schemas.microsoft.com/office/drawing/2010/slicer">
              <sle:slicer xmlns:sle="http://schemas.microsoft.com/office/drawing/2010/slicer" name="Sector 2"/>
            </a:graphicData>
          </a:graphic>
        </xdr:graphicFrame>
      </mc:Choice>
      <mc:Fallback>
        <xdr:sp macro="" textlink="">
          <xdr:nvSpPr>
            <xdr:cNvPr id="0" name=""/>
            <xdr:cNvSpPr>
              <a:spLocks noTextEdit="1"/>
            </xdr:cNvSpPr>
          </xdr:nvSpPr>
          <xdr:spPr>
            <a:xfrm>
              <a:off x="11222180" y="22330063"/>
              <a:ext cx="1902403" cy="12746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884465</xdr:colOff>
      <xdr:row>93</xdr:row>
      <xdr:rowOff>27214</xdr:rowOff>
    </xdr:from>
    <xdr:to>
      <xdr:col>6</xdr:col>
      <xdr:colOff>149678</xdr:colOff>
      <xdr:row>117</xdr:row>
      <xdr:rowOff>163285</xdr:rowOff>
    </xdr:to>
    <xdr:graphicFrame macro="">
      <xdr:nvGraphicFramePr>
        <xdr:cNvPr id="2" name="Chart 1">
          <a:extLst>
            <a:ext uri="{FF2B5EF4-FFF2-40B4-BE49-F238E27FC236}">
              <a16:creationId xmlns:a16="http://schemas.microsoft.com/office/drawing/2014/main" id="{1877F1EE-1B46-E030-5317-C874D192E3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366033</xdr:colOff>
      <xdr:row>85</xdr:row>
      <xdr:rowOff>38100</xdr:rowOff>
    </xdr:from>
    <xdr:to>
      <xdr:col>5</xdr:col>
      <xdr:colOff>1174297</xdr:colOff>
      <xdr:row>90</xdr:row>
      <xdr:rowOff>122464</xdr:rowOff>
    </xdr:to>
    <mc:AlternateContent xmlns:mc="http://schemas.openxmlformats.org/markup-compatibility/2006" xmlns:a14="http://schemas.microsoft.com/office/drawing/2010/main">
      <mc:Choice Requires="a14">
        <xdr:graphicFrame macro="">
          <xdr:nvGraphicFramePr>
            <xdr:cNvPr id="3" name="Sector 3">
              <a:extLst>
                <a:ext uri="{FF2B5EF4-FFF2-40B4-BE49-F238E27FC236}">
                  <a16:creationId xmlns:a16="http://schemas.microsoft.com/office/drawing/2014/main" id="{26140A63-1CD5-6701-CF4A-B32454D60EBD}"/>
                </a:ext>
              </a:extLst>
            </xdr:cNvPr>
            <xdr:cNvGraphicFramePr/>
          </xdr:nvGraphicFramePr>
          <xdr:xfrm>
            <a:off x="0" y="0"/>
            <a:ext cx="0" cy="0"/>
          </xdr:xfrm>
          <a:graphic>
            <a:graphicData uri="http://schemas.microsoft.com/office/drawing/2010/slicer">
              <sle:slicer xmlns:sle="http://schemas.microsoft.com/office/drawing/2010/slicer" name="Sector 3"/>
            </a:graphicData>
          </a:graphic>
        </xdr:graphicFrame>
      </mc:Choice>
      <mc:Fallback xmlns="">
        <xdr:sp macro="" textlink="">
          <xdr:nvSpPr>
            <xdr:cNvPr id="0" name=""/>
            <xdr:cNvSpPr>
              <a:spLocks noTextEdit="1"/>
            </xdr:cNvSpPr>
          </xdr:nvSpPr>
          <xdr:spPr>
            <a:xfrm>
              <a:off x="5727247" y="16448314"/>
              <a:ext cx="1828800" cy="13090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1046390</xdr:colOff>
      <xdr:row>84</xdr:row>
      <xdr:rowOff>78921</xdr:rowOff>
    </xdr:from>
    <xdr:to>
      <xdr:col>14</xdr:col>
      <xdr:colOff>180976</xdr:colOff>
      <xdr:row>89</xdr:row>
      <xdr:rowOff>163285</xdr:rowOff>
    </xdr:to>
    <mc:AlternateContent xmlns:mc="http://schemas.openxmlformats.org/markup-compatibility/2006" xmlns:a14="http://schemas.microsoft.com/office/drawing/2010/main">
      <mc:Choice Requires="a14">
        <xdr:graphicFrame macro="">
          <xdr:nvGraphicFramePr>
            <xdr:cNvPr id="4" name="Sector 4">
              <a:extLst>
                <a:ext uri="{FF2B5EF4-FFF2-40B4-BE49-F238E27FC236}">
                  <a16:creationId xmlns:a16="http://schemas.microsoft.com/office/drawing/2014/main" id="{F5083447-764A-8AD7-17B5-155792E94930}"/>
                </a:ext>
              </a:extLst>
            </xdr:cNvPr>
            <xdr:cNvGraphicFramePr/>
          </xdr:nvGraphicFramePr>
          <xdr:xfrm>
            <a:off x="0" y="0"/>
            <a:ext cx="0" cy="0"/>
          </xdr:xfrm>
          <a:graphic>
            <a:graphicData uri="http://schemas.microsoft.com/office/drawing/2010/slicer">
              <sle:slicer xmlns:sle="http://schemas.microsoft.com/office/drawing/2010/slicer" name="Sector 4"/>
            </a:graphicData>
          </a:graphic>
        </xdr:graphicFrame>
      </mc:Choice>
      <mc:Fallback xmlns="">
        <xdr:sp macro="" textlink="">
          <xdr:nvSpPr>
            <xdr:cNvPr id="0" name=""/>
            <xdr:cNvSpPr>
              <a:spLocks noTextEdit="1"/>
            </xdr:cNvSpPr>
          </xdr:nvSpPr>
          <xdr:spPr>
            <a:xfrm>
              <a:off x="16014247" y="16244207"/>
              <a:ext cx="1828800" cy="13090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789214</xdr:colOff>
      <xdr:row>93</xdr:row>
      <xdr:rowOff>54428</xdr:rowOff>
    </xdr:from>
    <xdr:to>
      <xdr:col>14</xdr:col>
      <xdr:colOff>489858</xdr:colOff>
      <xdr:row>117</xdr:row>
      <xdr:rowOff>68036</xdr:rowOff>
    </xdr:to>
    <xdr:graphicFrame macro="">
      <xdr:nvGraphicFramePr>
        <xdr:cNvPr id="5" name="Chart 4">
          <a:extLst>
            <a:ext uri="{FF2B5EF4-FFF2-40B4-BE49-F238E27FC236}">
              <a16:creationId xmlns:a16="http://schemas.microsoft.com/office/drawing/2014/main" id="{06EAB0BF-5A41-1446-6521-D66E07387E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51226</xdr:colOff>
      <xdr:row>244</xdr:row>
      <xdr:rowOff>12807</xdr:rowOff>
    </xdr:from>
    <xdr:to>
      <xdr:col>11</xdr:col>
      <xdr:colOff>1383126</xdr:colOff>
      <xdr:row>272</xdr:row>
      <xdr:rowOff>106763</xdr:rowOff>
    </xdr:to>
    <xdr:graphicFrame macro="">
      <xdr:nvGraphicFramePr>
        <xdr:cNvPr id="2" name="Chart 1">
          <a:extLst>
            <a:ext uri="{FF2B5EF4-FFF2-40B4-BE49-F238E27FC236}">
              <a16:creationId xmlns:a16="http://schemas.microsoft.com/office/drawing/2014/main" id="{8697520B-4264-1730-427E-A0B8E92089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1557619</xdr:colOff>
      <xdr:row>196</xdr:row>
      <xdr:rowOff>33618</xdr:rowOff>
    </xdr:from>
    <xdr:to>
      <xdr:col>10</xdr:col>
      <xdr:colOff>156883</xdr:colOff>
      <xdr:row>222</xdr:row>
      <xdr:rowOff>89648</xdr:rowOff>
    </xdr:to>
    <xdr:graphicFrame macro="">
      <xdr:nvGraphicFramePr>
        <xdr:cNvPr id="3" name="Chart 2">
          <a:extLst>
            <a:ext uri="{FF2B5EF4-FFF2-40B4-BE49-F238E27FC236}">
              <a16:creationId xmlns:a16="http://schemas.microsoft.com/office/drawing/2014/main" id="{F97E0862-F323-B5D6-99F0-B75498B01D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420461</xdr:colOff>
      <xdr:row>240</xdr:row>
      <xdr:rowOff>100692</xdr:rowOff>
    </xdr:from>
    <xdr:to>
      <xdr:col>5</xdr:col>
      <xdr:colOff>521154</xdr:colOff>
      <xdr:row>247</xdr:row>
      <xdr:rowOff>133350</xdr:rowOff>
    </xdr:to>
    <mc:AlternateContent xmlns:mc="http://schemas.openxmlformats.org/markup-compatibility/2006" xmlns:a14="http://schemas.microsoft.com/office/drawing/2010/main">
      <mc:Choice Requires="a14">
        <xdr:graphicFrame macro="">
          <xdr:nvGraphicFramePr>
            <xdr:cNvPr id="4" name="Sector 5">
              <a:extLst>
                <a:ext uri="{FF2B5EF4-FFF2-40B4-BE49-F238E27FC236}">
                  <a16:creationId xmlns:a16="http://schemas.microsoft.com/office/drawing/2014/main" id="{C8755C6D-9D11-6DDA-3560-6F173CBFF6BF}"/>
                </a:ext>
              </a:extLst>
            </xdr:cNvPr>
            <xdr:cNvGraphicFramePr/>
          </xdr:nvGraphicFramePr>
          <xdr:xfrm>
            <a:off x="0" y="0"/>
            <a:ext cx="0" cy="0"/>
          </xdr:xfrm>
          <a:graphic>
            <a:graphicData uri="http://schemas.microsoft.com/office/drawing/2010/slicer">
              <sle:slicer xmlns:sle="http://schemas.microsoft.com/office/drawing/2010/slicer" name="Sector 5"/>
            </a:graphicData>
          </a:graphic>
        </xdr:graphicFrame>
      </mc:Choice>
      <mc:Fallback xmlns="">
        <xdr:sp macro="" textlink="">
          <xdr:nvSpPr>
            <xdr:cNvPr id="0" name=""/>
            <xdr:cNvSpPr>
              <a:spLocks noTextEdit="1"/>
            </xdr:cNvSpPr>
          </xdr:nvSpPr>
          <xdr:spPr>
            <a:xfrm>
              <a:off x="5541549" y="45988780"/>
              <a:ext cx="1826399" cy="1366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Upadhyay" refreshedDate="46291.736995949075" createdVersion="8" refreshedVersion="8" minRefreshableVersion="3" recordCount="78" xr:uid="{AB3A170B-4E45-4550-B619-B2E915C1EAE0}">
  <cacheSource type="worksheet">
    <worksheetSource name="Table7_1"/>
  </cacheSource>
  <cacheFields count="6">
    <cacheField name="Year" numFmtId="0">
      <sharedItems containsSemiMixedTypes="0" containsString="0" containsNumber="1" containsInteger="1" minValue="2023" maxValue="2023"/>
    </cacheField>
    <cacheField name="Month" numFmtId="0">
      <sharedItems/>
    </cacheField>
    <cacheField name="Broader categories" numFmtId="0">
      <sharedItems count="12">
        <s v="Food"/>
        <s v="Intoxicants"/>
        <s v="Clothing"/>
        <s v="Housing"/>
        <s v="Fuel and light"/>
        <s v="Household goods and services"/>
        <s v="Health"/>
        <s v="Transport and communication"/>
        <s v="Recreation and amusement"/>
        <s v="Education"/>
        <s v="Personal care and effects"/>
        <s v="Miscellaneous"/>
      </sharedItems>
    </cacheField>
    <cacheField name="Sub Categories" numFmtId="0">
      <sharedItems/>
    </cacheField>
    <cacheField name="Sector" numFmtId="0">
      <sharedItems count="3">
        <s v="Rural"/>
        <s v="Urban"/>
        <s v="Rural+Urban"/>
      </sharedItems>
    </cacheField>
    <cacheField name="CPI" numFmtId="0">
      <sharedItems containsMixedTypes="1" containsNumber="1" minValue="121.9" maxValue="221"/>
    </cacheField>
  </cacheFields>
  <extLst>
    <ext xmlns:x14="http://schemas.microsoft.com/office/spreadsheetml/2009/9/main" uri="{725AE2AE-9491-48be-B2B4-4EB974FC3084}">
      <x14:pivotCacheDefinition pivotCacheId="6347235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Upadhyay" refreshedDate="46291.847968634262" createdVersion="8" refreshedVersion="8" minRefreshableVersion="3" recordCount="36" xr:uid="{3AE1FB4E-1184-4BB2-BBB1-24C310F18CCF}">
  <cacheSource type="worksheet">
    <worksheetSource name="Table9_112"/>
  </cacheSource>
  <cacheFields count="20">
    <cacheField name="Sector" numFmtId="0">
      <sharedItems count="3">
        <s v="Rural"/>
        <s v="Rural+Urban"/>
        <s v="Urban"/>
      </sharedItems>
    </cacheField>
    <cacheField name="Month" numFmtId="164">
      <sharedItems containsSemiMixedTypes="0" containsNonDate="0" containsDate="1" containsString="0" minDate="2022-06-01T00:00:00" maxDate="2023-05-02T00:00:00" count="12">
        <d v="2022-06-01T00:00:00"/>
        <d v="2022-07-01T00:00:00"/>
        <d v="2022-08-01T00:00:00"/>
        <d v="2022-09-01T00:00:00"/>
        <d v="2022-10-01T00:00:00"/>
        <d v="2022-11-01T00:00:00"/>
        <d v="2022-12-01T00:00:00"/>
        <d v="2023-01-01T00:00:00"/>
        <d v="2023-02-01T00:00:00"/>
        <d v="2023-03-01T00:00:00"/>
        <d v="2023-04-01T00:00:00"/>
        <d v="2023-05-01T00:00:00"/>
      </sharedItems>
      <fieldGroup par="19"/>
    </cacheField>
    <cacheField name="Cereals and products" numFmtId="0">
      <sharedItems containsSemiMixedTypes="0" containsString="0" containsNumber="1" minValue="153.80000000000001" maxValue="174.8"/>
    </cacheField>
    <cacheField name="Meat and fish" numFmtId="0">
      <sharedItems containsSemiMixedTypes="0" containsString="0" containsNumber="1" minValue="204.1" maxValue="223.4"/>
    </cacheField>
    <cacheField name="Egg" numFmtId="0">
      <sharedItems containsSemiMixedTypes="0" containsString="0" containsNumber="1" minValue="167.9" maxValue="197"/>
    </cacheField>
    <cacheField name="Milk and products" numFmtId="0">
      <sharedItems containsSemiMixedTypes="0" containsString="0" containsNumber="1" minValue="165.4" maxValue="179.6"/>
    </cacheField>
    <cacheField name="Oils and fats" numFmtId="0">
      <sharedItems containsSemiMixedTypes="0" containsString="0" containsNumber="1" minValue="164.4" maxValue="208.1"/>
    </cacheField>
    <cacheField name="Fruits" numFmtId="0">
      <sharedItems containsSemiMixedTypes="0" containsString="0" containsNumber="1" minValue="156.30000000000001" maxValue="179.5"/>
    </cacheField>
    <cacheField name="Vegetables" numFmtId="0">
      <sharedItems containsSemiMixedTypes="0" containsString="0" containsNumber="1" minValue="140.9" maxValue="228.6"/>
    </cacheField>
    <cacheField name="Pulses and products" numFmtId="0">
      <sharedItems containsSemiMixedTypes="0" containsString="0" containsNumber="1" minValue="163.6" maxValue="176.9"/>
    </cacheField>
    <cacheField name="Sugar and Confectionery" numFmtId="0">
      <sharedItems containsSemiMixedTypes="0" containsString="0" containsNumber="1" minValue="119.1" maxValue="124.2"/>
    </cacheField>
    <cacheField name="Spices" numFmtId="0">
      <sharedItems containsSemiMixedTypes="0" containsString="0" containsNumber="1" minValue="183.5" maxValue="221"/>
    </cacheField>
    <cacheField name="Non-alcoholic beverages" numFmtId="0">
      <sharedItems containsSemiMixedTypes="0" containsString="0" containsNumber="1" minValue="159.1" maxValue="178.7"/>
    </cacheField>
    <cacheField name="Prepared meals, snacks, sweets etc." numFmtId="0">
      <sharedItems containsSemiMixedTypes="0" containsString="0" containsNumber="1" minValue="181.9" maxValue="197.7"/>
    </cacheField>
    <cacheField name="Food and beverages" numFmtId="0">
      <sharedItems containsSemiMixedTypes="0" containsString="0" containsNumber="1" minValue="172.4" maxValue="183.3"/>
    </cacheField>
    <cacheField name="Overall CPI" numFmtId="0">
      <sharedItems containsSemiMixedTypes="0" containsString="0" containsNumber="1" minValue="2248.3000000000002" maxValue="2335.1"/>
    </cacheField>
    <cacheField name="M-o-M CPI Changes" numFmtId="10">
      <sharedItems containsSemiMixedTypes="0" containsString="0" containsNumber="1" minValue="-8.0366401659178899E-3" maxValue="1.11838033772433E-2"/>
    </cacheField>
    <cacheField name="Months (Month)" numFmtId="0" databaseField="0">
      <fieldGroup base="1">
        <rangePr groupBy="months" startDate="2022-06-01T00:00:00" endDate="2023-05-02T00:00:00"/>
        <groupItems count="14">
          <s v="&lt;01-06-2022"/>
          <s v="Jan"/>
          <s v="Feb"/>
          <s v="Mar"/>
          <s v="Apr"/>
          <s v="May"/>
          <s v="Jun"/>
          <s v="Jul"/>
          <s v="Aug"/>
          <s v="Sep"/>
          <s v="Oct"/>
          <s v="Nov"/>
          <s v="Dec"/>
          <s v="&gt;02-05-2023"/>
        </groupItems>
      </fieldGroup>
    </cacheField>
    <cacheField name="Quarters (Month)" numFmtId="0" databaseField="0">
      <fieldGroup base="1">
        <rangePr groupBy="quarters" startDate="2022-06-01T00:00:00" endDate="2023-05-02T00:00:00"/>
        <groupItems count="6">
          <s v="&lt;01-06-2022"/>
          <s v="Qtr1"/>
          <s v="Qtr2"/>
          <s v="Qtr3"/>
          <s v="Qtr4"/>
          <s v="&gt;02-05-2023"/>
        </groupItems>
      </fieldGroup>
    </cacheField>
    <cacheField name="Years (Month)" numFmtId="0" databaseField="0">
      <fieldGroup base="1">
        <rangePr groupBy="years" startDate="2022-06-01T00:00:00" endDate="2023-05-02T00:00:00"/>
        <groupItems count="4">
          <s v="&lt;01-06-2022"/>
          <s v="2022"/>
          <s v="2023"/>
          <s v="&gt;02-05-2023"/>
        </groupItems>
      </fieldGroup>
    </cacheField>
  </cacheFields>
  <extLst>
    <ext xmlns:x14="http://schemas.microsoft.com/office/spreadsheetml/2009/9/main" uri="{725AE2AE-9491-48be-B2B4-4EB974FC3084}">
      <x14:pivotCacheDefinition pivotCacheId="193853712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Upadhyay" refreshedDate="46291.891502199076" createdVersion="8" refreshedVersion="8" minRefreshableVersion="3" recordCount="39" xr:uid="{A8E5D90A-FF2B-476B-9EA7-09E771947D71}">
  <cacheSource type="worksheet">
    <worksheetSource name="Table9_113"/>
  </cacheSource>
  <cacheFields count="5">
    <cacheField name="Sector" numFmtId="0">
      <sharedItems count="3">
        <s v="Rural"/>
        <s v="Rural+Urban"/>
        <s v="Urban"/>
      </sharedItems>
    </cacheField>
    <cacheField name="Categories" numFmtId="0">
      <sharedItems count="13">
        <s v="Cereals and products"/>
        <s v="Egg"/>
        <s v="Food and beverages"/>
        <s v="Fruits"/>
        <s v="Meat and fish"/>
        <s v="Milk and products"/>
        <s v="Non-alcoholic beverages"/>
        <s v="Oils and fats"/>
        <s v="Prepared meals, snacks, sweets etc."/>
        <s v="Pulses and products"/>
        <s v="Spices"/>
        <s v="Sugar and Confectionery"/>
        <s v="Vegetables"/>
      </sharedItems>
    </cacheField>
    <cacheField name="01-06-2022" numFmtId="0">
      <sharedItems containsSemiMixedTypes="0" containsString="0" containsNumber="1" minValue="119.1" maxValue="223.4"/>
    </cacheField>
    <cacheField name="01-05-2023" numFmtId="0">
      <sharedItems containsSemiMixedTypes="0" containsString="0" containsNumber="1" minValue="121.9" maxValue="221"/>
    </cacheField>
    <cacheField name="CPI CHANGE" numFmtId="0">
      <sharedItems containsSemiMixedTypes="0" containsString="0" containsNumber="1" minValue="-34.799999999999983" maxValue="32.099999999999994"/>
    </cacheField>
  </cacheFields>
  <extLst>
    <ext xmlns:x14="http://schemas.microsoft.com/office/spreadsheetml/2009/9/main" uri="{725AE2AE-9491-48be-B2B4-4EB974FC3084}">
      <x14:pivotCacheDefinition pivotCacheId="138111771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Upadhyay" refreshedDate="46293.097679861108" createdVersion="8" refreshedVersion="8" minRefreshableVersion="3" recordCount="48" xr:uid="{6892A8B2-47C8-46BA-A807-EB159052C38B}">
  <cacheSource type="worksheet">
    <worksheetSource name="Table1__2"/>
  </cacheSource>
  <cacheFields count="6">
    <cacheField name="Sector" numFmtId="0">
      <sharedItems count="3">
        <s v="Rural"/>
        <s v="Rural+Urban"/>
        <s v="Urban"/>
      </sharedItems>
    </cacheField>
    <cacheField name="Broader Categories" numFmtId="0">
      <sharedItems count="3">
        <s v="Food &amp; Beverages"/>
        <s v="Essential Services"/>
        <s v="HealthCare"/>
      </sharedItems>
    </cacheField>
    <cacheField name="Sub Categories" numFmtId="0">
      <sharedItems/>
    </cacheField>
    <cacheField name="March-2019" numFmtId="0">
      <sharedItems containsSemiMixedTypes="0" containsString="0" containsNumber="1" minValue="108.3" maxValue="156.4"/>
    </cacheField>
    <cacheField name="February-2020" numFmtId="0">
      <sharedItems containsSemiMixedTypes="0" containsString="0" containsNumber="1" minValue="113.1" maxValue="181.7"/>
    </cacheField>
    <cacheField name="YoY Inflation" numFmtId="10">
      <sharedItems containsSemiMixedTypes="0" containsString="0" containsNumber="1" minValue="1.7902813299232628E-2" maxValue="0.28783151326053047" count="48">
        <n v="5.332359386413428E-2"/>
        <n v="8.7959625090122701E-2"/>
        <n v="9.1041514930808434E-2"/>
        <n v="3.3798677443056535E-2"/>
        <n v="4.0300546448087469E-2"/>
        <n v="3.8563829787233925E-2"/>
        <n v="8.6956521739130474E-2"/>
        <n v="5.8947368421052672E-2"/>
        <n v="1.9650655021833979E-2"/>
        <n v="7.735697018533437E-2"/>
        <n v="1.7902813299232628E-2"/>
        <n v="0.15944399018806227"/>
        <n v="0.1000719942404608"/>
        <n v="4.4321329639889169E-2"/>
        <n v="4.6959199384141601E-2"/>
        <n v="0.28783151326053047"/>
        <n v="5.079825834542815E-2"/>
        <n v="8.1967213114754092E-2"/>
        <n v="8.9790007241129663E-2"/>
        <n v="3.0523255813953612E-2"/>
        <n v="5.368647100930566E-2"/>
        <n v="3.761969904240766E-2"/>
        <n v="9.4771241830065356E-2"/>
        <n v="5.9732958538299366E-2"/>
        <n v="2.0942408376963439E-2"/>
        <n v="7.7049180327868894E-2"/>
        <n v="2.5128865979381482E-2"/>
        <n v="0.15845648604269291"/>
        <n v="8.9605734767025089E-2"/>
        <n v="4.2201834862385268E-2"/>
        <n v="4.5746388443017795E-2"/>
        <n v="0.28733031674208143"/>
        <n v="4.6528274874731573E-2"/>
        <n v="7.1378586424072701E-2"/>
        <n v="8.6676217765042946E-2"/>
        <n v="2.6542324246771797E-2"/>
        <n v="7.8416149068322935E-2"/>
        <n v="3.7356321839080588E-2"/>
        <n v="0.10919920582395765"/>
        <n v="6.2015503875968866E-2"/>
        <n v="2.3346303501945526E-2"/>
        <n v="7.6013513513513514E-2"/>
        <n v="3.3138401559454154E-2"/>
        <n v="0.15658657829328906"/>
        <n v="6.8941009239516834E-2"/>
        <n v="3.8043478260869464E-2"/>
        <n v="4.4203502919099226E-2"/>
        <n v="0.28682719546742214"/>
      </sharedItems>
    </cacheField>
  </cacheFields>
  <extLst>
    <ext xmlns:x14="http://schemas.microsoft.com/office/spreadsheetml/2009/9/main" uri="{725AE2AE-9491-48be-B2B4-4EB974FC3084}">
      <x14:pivotCacheDefinition pivotCacheId="1209736242"/>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Upadhyay" refreshedDate="46293.13455023148" createdVersion="8" refreshedVersion="8" minRefreshableVersion="3" recordCount="48" xr:uid="{D926E1BD-1ACB-4398-9570-EB271CFE2F41}">
  <cacheSource type="worksheet">
    <worksheetSource name="Table5_1"/>
  </cacheSource>
  <cacheFields count="6">
    <cacheField name="Sector" numFmtId="0">
      <sharedItems count="3">
        <s v="Rural"/>
        <s v="Rural+Urban"/>
        <s v="Urban"/>
      </sharedItems>
    </cacheField>
    <cacheField name="Broader Categories" numFmtId="0">
      <sharedItems count="3">
        <s v="Food &amp; Beverages"/>
        <s v="Essential Services"/>
        <s v="HealthCare"/>
      </sharedItems>
    </cacheField>
    <cacheField name="Sub Categories" numFmtId="0">
      <sharedItems/>
    </cacheField>
    <cacheField name="March-2020" numFmtId="0">
      <sharedItems containsSemiMixedTypes="0" containsString="0" containsNumber="1" minValue="112.6" maxValue="167.5"/>
    </cacheField>
    <cacheField name="February-2021" numFmtId="0">
      <sharedItems containsSemiMixedTypes="0" containsString="0" containsNumber="1" minValue="111.8" maxValue="191.2"/>
    </cacheField>
    <cacheField name="YoY Inflation" numFmtId="10">
      <sharedItems containsSemiMixedTypes="0" containsString="0" containsNumber="1" minValue="-1.7071569271175459E-2" maxValue="0.22280570142535625"/>
    </cacheField>
  </cacheFields>
  <extLst>
    <ext xmlns:x14="http://schemas.microsoft.com/office/spreadsheetml/2009/9/main" uri="{725AE2AE-9491-48be-B2B4-4EB974FC3084}">
      <x14:pivotCacheDefinition pivotCacheId="374260328"/>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Upadhyay" refreshedDate="46293.881847916666" backgroundQuery="1" createdVersion="8" refreshedVersion="8" minRefreshableVersion="3" recordCount="78" xr:uid="{F506C127-B1E3-4835-A212-69CA3303731E}">
  <cacheSource type="external" connectionId="2"/>
  <cacheFields count="3">
    <cacheField name="Sector" numFmtId="0">
      <sharedItems count="3">
        <s v="Rural"/>
        <s v="Rural+Urban"/>
        <s v="Urban"/>
      </sharedItems>
    </cacheField>
    <cacheField name="Category" numFmtId="0">
      <sharedItems count="26">
        <s v="Cereals and products"/>
        <s v="Meat and fish"/>
        <s v="Egg"/>
        <s v="Milk and products"/>
        <s v="Oils and fats"/>
        <s v="Fruits"/>
        <s v="Vegetables"/>
        <s v="Pulses and products"/>
        <s v="Sugar and Confectionery"/>
        <s v="Spices"/>
        <s v="Non-alcoholic beverages"/>
        <s v="Prepared meals, snacks, sweets etc."/>
        <s v="Food and beverages"/>
        <s v="Pan, tobacco and intoxicants"/>
        <s v="Clothing"/>
        <s v="Footwear"/>
        <s v="Clothing and footwear"/>
        <s v="Housing"/>
        <s v="Fuel and light"/>
        <s v="Household goods and services"/>
        <s v="Health"/>
        <s v="Transport and communication"/>
        <s v="Recreation and amusement"/>
        <s v="Education"/>
        <s v="Personal care and effects"/>
        <s v="Miscellaneous"/>
      </sharedItems>
    </cacheField>
    <cacheField name="Correlation" numFmtId="0">
      <sharedItems containsSemiMixedTypes="0" containsString="0" containsNumber="1" minValue="-0.3500077673912273" maxValue="0.45794786337817667"/>
    </cacheField>
  </cacheFields>
  <extLst>
    <ext xmlns:x14="http://schemas.microsoft.com/office/spreadsheetml/2009/9/main" uri="{725AE2AE-9491-48be-B2B4-4EB974FC3084}">
      <x14:pivotCacheDefinition pivotCacheId="14312530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
  <r>
    <n v="2023"/>
    <s v="May"/>
    <x v="0"/>
    <s v="Cereals and products"/>
    <x v="0"/>
    <n v="173.2"/>
  </r>
  <r>
    <n v="2023"/>
    <s v="May"/>
    <x v="0"/>
    <s v="Cereals and products"/>
    <x v="1"/>
    <n v="174.7"/>
  </r>
  <r>
    <n v="2023"/>
    <s v="May"/>
    <x v="0"/>
    <s v="Cereals and products"/>
    <x v="2"/>
    <n v="173.7"/>
  </r>
  <r>
    <n v="2023"/>
    <s v="May"/>
    <x v="0"/>
    <s v="Meat and fish"/>
    <x v="0"/>
    <n v="211.5"/>
  </r>
  <r>
    <n v="2023"/>
    <s v="May"/>
    <x v="0"/>
    <s v="Meat and fish"/>
    <x v="1"/>
    <n v="219.4"/>
  </r>
  <r>
    <n v="2023"/>
    <s v="May"/>
    <x v="0"/>
    <s v="Meat and fish"/>
    <x v="2"/>
    <n v="214.3"/>
  </r>
  <r>
    <n v="2023"/>
    <s v="May"/>
    <x v="0"/>
    <s v="Egg"/>
    <x v="0"/>
    <n v="171"/>
  </r>
  <r>
    <n v="2023"/>
    <s v="May"/>
    <x v="0"/>
    <s v="Egg"/>
    <x v="1"/>
    <n v="176.7"/>
  </r>
  <r>
    <n v="2023"/>
    <s v="May"/>
    <x v="0"/>
    <s v="Egg"/>
    <x v="2"/>
    <n v="173.2"/>
  </r>
  <r>
    <n v="2023"/>
    <s v="May"/>
    <x v="0"/>
    <s v="Milk and products"/>
    <x v="0"/>
    <n v="179.6"/>
  </r>
  <r>
    <n v="2023"/>
    <s v="May"/>
    <x v="0"/>
    <s v="Milk and products"/>
    <x v="1"/>
    <n v="179.4"/>
  </r>
  <r>
    <n v="2023"/>
    <s v="May"/>
    <x v="0"/>
    <s v="Milk and products"/>
    <x v="2"/>
    <n v="179.5"/>
  </r>
  <r>
    <n v="2023"/>
    <s v="May"/>
    <x v="0"/>
    <s v="Oils and fats"/>
    <x v="0"/>
    <n v="173.3"/>
  </r>
  <r>
    <n v="2023"/>
    <s v="May"/>
    <x v="0"/>
    <s v="Oils and fats"/>
    <x v="1"/>
    <n v="164.4"/>
  </r>
  <r>
    <n v="2023"/>
    <s v="May"/>
    <x v="0"/>
    <s v="Oils and fats"/>
    <x v="2"/>
    <n v="170"/>
  </r>
  <r>
    <n v="2023"/>
    <s v="May"/>
    <x v="0"/>
    <s v="Fruits"/>
    <x v="0"/>
    <n v="169"/>
  </r>
  <r>
    <n v="2023"/>
    <s v="May"/>
    <x v="0"/>
    <s v="Fruits"/>
    <x v="1"/>
    <n v="175.8"/>
  </r>
  <r>
    <n v="2023"/>
    <s v="May"/>
    <x v="0"/>
    <s v="Fruits"/>
    <x v="2"/>
    <n v="172.2"/>
  </r>
  <r>
    <n v="2023"/>
    <s v="May"/>
    <x v="0"/>
    <s v="Vegetables"/>
    <x v="0"/>
    <n v="148.69999999999999"/>
  </r>
  <r>
    <n v="2023"/>
    <s v="May"/>
    <x v="0"/>
    <s v="Vegetables"/>
    <x v="1"/>
    <n v="185"/>
  </r>
  <r>
    <n v="2023"/>
    <s v="May"/>
    <x v="0"/>
    <s v="Vegetables"/>
    <x v="2"/>
    <n v="161"/>
  </r>
  <r>
    <n v="2023"/>
    <s v="May"/>
    <x v="0"/>
    <s v="Pulses and products"/>
    <x v="0"/>
    <n v="174.9"/>
  </r>
  <r>
    <n v="2023"/>
    <s v="May"/>
    <x v="0"/>
    <s v="Pulses and products"/>
    <x v="1"/>
    <n v="176.9"/>
  </r>
  <r>
    <n v="2023"/>
    <s v="May"/>
    <x v="0"/>
    <s v="Pulses and products"/>
    <x v="2"/>
    <n v="175.6"/>
  </r>
  <r>
    <n v="2023"/>
    <s v="May"/>
    <x v="0"/>
    <s v="Sugar and Confectionery"/>
    <x v="0"/>
    <n v="121.9"/>
  </r>
  <r>
    <n v="2023"/>
    <s v="May"/>
    <x v="0"/>
    <s v="Sugar and Confectionery"/>
    <x v="1"/>
    <n v="124.2"/>
  </r>
  <r>
    <n v="2023"/>
    <s v="May"/>
    <x v="0"/>
    <s v="Sugar and Confectionery"/>
    <x v="2"/>
    <n v="122.7"/>
  </r>
  <r>
    <n v="2023"/>
    <s v="May"/>
    <x v="0"/>
    <s v="Spices"/>
    <x v="0"/>
    <n v="221"/>
  </r>
  <r>
    <n v="2023"/>
    <s v="May"/>
    <x v="0"/>
    <s v="Spices"/>
    <x v="1"/>
    <n v="211.9"/>
  </r>
  <r>
    <n v="2023"/>
    <s v="May"/>
    <x v="0"/>
    <s v="Spices"/>
    <x v="2"/>
    <n v="218"/>
  </r>
  <r>
    <n v="2023"/>
    <s v="May"/>
    <x v="0"/>
    <s v="Non-alcoholic beverages"/>
    <x v="0"/>
    <n v="178.7"/>
  </r>
  <r>
    <n v="2023"/>
    <s v="May"/>
    <x v="0"/>
    <s v="Non-alcoholic beverages"/>
    <x v="1"/>
    <n v="165.9"/>
  </r>
  <r>
    <n v="2023"/>
    <s v="May"/>
    <x v="0"/>
    <s v="Non-alcoholic beverages"/>
    <x v="2"/>
    <n v="173.4"/>
  </r>
  <r>
    <n v="2023"/>
    <s v="May"/>
    <x v="0"/>
    <s v="Prepared meals, snacks, sweets etc."/>
    <x v="0"/>
    <n v="191.1"/>
  </r>
  <r>
    <n v="2023"/>
    <s v="May"/>
    <x v="0"/>
    <s v="Prepared meals, snacks, sweets etc."/>
    <x v="1"/>
    <n v="197.7"/>
  </r>
  <r>
    <n v="2023"/>
    <s v="May"/>
    <x v="0"/>
    <s v="Prepared meals, snacks, sweets etc."/>
    <x v="2"/>
    <n v="194.2"/>
  </r>
  <r>
    <n v="2023"/>
    <s v="May"/>
    <x v="0"/>
    <s v="Food and beverages"/>
    <x v="0"/>
    <n v="176.8"/>
  </r>
  <r>
    <n v="2023"/>
    <s v="May"/>
    <x v="0"/>
    <s v="Food and beverages"/>
    <x v="1"/>
    <n v="183.1"/>
  </r>
  <r>
    <n v="2023"/>
    <s v="May"/>
    <x v="0"/>
    <s v="Food and beverages"/>
    <x v="2"/>
    <n v="179.1"/>
  </r>
  <r>
    <n v="2023"/>
    <s v="May"/>
    <x v="1"/>
    <s v="Pan, tobacco and intoxicants"/>
    <x v="0"/>
    <n v="199.9"/>
  </r>
  <r>
    <n v="2023"/>
    <s v="May"/>
    <x v="1"/>
    <s v="Pan, tobacco and intoxicants"/>
    <x v="1"/>
    <n v="204.2"/>
  </r>
  <r>
    <n v="2023"/>
    <s v="May"/>
    <x v="1"/>
    <s v="Pan, tobacco and intoxicants"/>
    <x v="2"/>
    <n v="201"/>
  </r>
  <r>
    <n v="2023"/>
    <s v="May"/>
    <x v="2"/>
    <s v="Clothing"/>
    <x v="0"/>
    <n v="191.2"/>
  </r>
  <r>
    <n v="2023"/>
    <s v="May"/>
    <x v="2"/>
    <s v="Clothing"/>
    <x v="1"/>
    <n v="181.3"/>
  </r>
  <r>
    <n v="2023"/>
    <s v="May"/>
    <x v="2"/>
    <s v="Clothing"/>
    <x v="2"/>
    <n v="187.3"/>
  </r>
  <r>
    <n v="2023"/>
    <s v="May"/>
    <x v="2"/>
    <s v="Footwear"/>
    <x v="0"/>
    <n v="187.9"/>
  </r>
  <r>
    <n v="2023"/>
    <s v="May"/>
    <x v="2"/>
    <s v="Footwear"/>
    <x v="1"/>
    <n v="168.1"/>
  </r>
  <r>
    <n v="2023"/>
    <s v="May"/>
    <x v="2"/>
    <s v="Footwear"/>
    <x v="2"/>
    <n v="179.7"/>
  </r>
  <r>
    <n v="2023"/>
    <s v="May"/>
    <x v="2"/>
    <s v="Clothing and footwear"/>
    <x v="0"/>
    <n v="190.8"/>
  </r>
  <r>
    <n v="2023"/>
    <s v="May"/>
    <x v="2"/>
    <s v="Clothing and footwear"/>
    <x v="1"/>
    <n v="179.3"/>
  </r>
  <r>
    <n v="2023"/>
    <s v="May"/>
    <x v="2"/>
    <s v="Clothing and footwear"/>
    <x v="2"/>
    <n v="186.2"/>
  </r>
  <r>
    <n v="2023"/>
    <s v="May"/>
    <x v="3"/>
    <s v="Housing"/>
    <x v="0"/>
    <s v="-"/>
  </r>
  <r>
    <n v="2023"/>
    <s v="May"/>
    <x v="3"/>
    <s v="Housing"/>
    <x v="1"/>
    <n v="175.6"/>
  </r>
  <r>
    <n v="2023"/>
    <s v="May"/>
    <x v="3"/>
    <s v="Housing"/>
    <x v="2"/>
    <n v="175.6"/>
  </r>
  <r>
    <n v="2023"/>
    <s v="May"/>
    <x v="4"/>
    <s v="Fuel and light"/>
    <x v="0"/>
    <n v="182.5"/>
  </r>
  <r>
    <n v="2023"/>
    <s v="May"/>
    <x v="4"/>
    <s v="Fuel and light"/>
    <x v="1"/>
    <n v="183.4"/>
  </r>
  <r>
    <n v="2023"/>
    <s v="May"/>
    <x v="4"/>
    <s v="Fuel and light"/>
    <x v="2"/>
    <n v="182.8"/>
  </r>
  <r>
    <n v="2023"/>
    <s v="May"/>
    <x v="5"/>
    <s v="Household goods and services"/>
    <x v="0"/>
    <n v="179.8"/>
  </r>
  <r>
    <n v="2023"/>
    <s v="May"/>
    <x v="5"/>
    <s v="Household goods and services"/>
    <x v="1"/>
    <n v="170.1"/>
  </r>
  <r>
    <n v="2023"/>
    <s v="May"/>
    <x v="5"/>
    <s v="Household goods and services"/>
    <x v="2"/>
    <n v="175.2"/>
  </r>
  <r>
    <n v="2023"/>
    <s v="May"/>
    <x v="6"/>
    <s v="Health"/>
    <x v="0"/>
    <n v="187.8"/>
  </r>
  <r>
    <n v="2023"/>
    <s v="May"/>
    <x v="6"/>
    <s v="Health"/>
    <x v="1"/>
    <n v="182.2"/>
  </r>
  <r>
    <n v="2023"/>
    <s v="May"/>
    <x v="6"/>
    <s v="Health"/>
    <x v="2"/>
    <n v="185.7"/>
  </r>
  <r>
    <n v="2023"/>
    <s v="May"/>
    <x v="7"/>
    <s v="Transport and communication"/>
    <x v="0"/>
    <n v="169.7"/>
  </r>
  <r>
    <n v="2023"/>
    <s v="May"/>
    <x v="7"/>
    <s v="Transport and communication"/>
    <x v="1"/>
    <n v="160.4"/>
  </r>
  <r>
    <n v="2023"/>
    <s v="May"/>
    <x v="7"/>
    <s v="Transport and communication"/>
    <x v="2"/>
    <n v="164.8"/>
  </r>
  <r>
    <n v="2023"/>
    <s v="May"/>
    <x v="8"/>
    <s v="Recreation and amusement"/>
    <x v="0"/>
    <n v="173.8"/>
  </r>
  <r>
    <n v="2023"/>
    <s v="May"/>
    <x v="8"/>
    <s v="Recreation and amusement"/>
    <x v="1"/>
    <n v="169.2"/>
  </r>
  <r>
    <n v="2023"/>
    <s v="May"/>
    <x v="8"/>
    <s v="Recreation and amusement"/>
    <x v="2"/>
    <n v="171.2"/>
  </r>
  <r>
    <n v="2023"/>
    <s v="May"/>
    <x v="9"/>
    <s v="Education"/>
    <x v="0"/>
    <n v="180.3"/>
  </r>
  <r>
    <n v="2023"/>
    <s v="May"/>
    <x v="9"/>
    <s v="Education"/>
    <x v="1"/>
    <n v="174.8"/>
  </r>
  <r>
    <n v="2023"/>
    <s v="May"/>
    <x v="9"/>
    <s v="Education"/>
    <x v="2"/>
    <n v="177.1"/>
  </r>
  <r>
    <n v="2023"/>
    <s v="May"/>
    <x v="10"/>
    <s v="Personal care and effects"/>
    <x v="0"/>
    <n v="184.9"/>
  </r>
  <r>
    <n v="2023"/>
    <s v="May"/>
    <x v="10"/>
    <s v="Personal care and effects"/>
    <x v="1"/>
    <n v="185.6"/>
  </r>
  <r>
    <n v="2023"/>
    <s v="May"/>
    <x v="10"/>
    <s v="Personal care and effects"/>
    <x v="2"/>
    <n v="185.2"/>
  </r>
  <r>
    <n v="2023"/>
    <s v="May"/>
    <x v="11"/>
    <s v="Miscellaneous"/>
    <x v="0"/>
    <n v="179.5"/>
  </r>
  <r>
    <n v="2023"/>
    <s v="May"/>
    <x v="11"/>
    <s v="Miscellaneous"/>
    <x v="1"/>
    <n v="171.6"/>
  </r>
  <r>
    <n v="2023"/>
    <s v="May"/>
    <x v="11"/>
    <s v="Miscellaneous"/>
    <x v="2"/>
    <n v="175.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153.80000000000001"/>
    <n v="217.2"/>
    <n v="169.6"/>
    <n v="165.4"/>
    <n v="208.1"/>
    <n v="165.8"/>
    <n v="167.3"/>
    <n v="164.6"/>
    <n v="119.1"/>
    <n v="188.9"/>
    <n v="174.2"/>
    <n v="181.9"/>
    <n v="172.4"/>
    <n v="2248.3000000000002"/>
    <n v="9.6551104724268005E-3"/>
  </r>
  <r>
    <x v="0"/>
    <x v="1"/>
    <n v="155.19999999999999"/>
    <n v="210.8"/>
    <n v="174.3"/>
    <n v="166.3"/>
    <n v="202.2"/>
    <n v="169.6"/>
    <n v="168.6"/>
    <n v="164.4"/>
    <n v="119.2"/>
    <n v="191.8"/>
    <n v="174.5"/>
    <n v="183.1"/>
    <n v="172.5"/>
    <n v="2252.5"/>
    <n v="1.86807810345586E-3"/>
  </r>
  <r>
    <x v="0"/>
    <x v="2"/>
    <n v="159.5"/>
    <n v="204.1"/>
    <n v="168.3"/>
    <n v="167.9"/>
    <n v="198.1"/>
    <n v="169.2"/>
    <n v="173.1"/>
    <n v="167.1"/>
    <n v="120.2"/>
    <n v="195.6"/>
    <n v="174.8"/>
    <n v="184"/>
    <n v="173.9"/>
    <n v="2255.7999999999997"/>
    <n v="1.46503884572685E-3"/>
  </r>
  <r>
    <x v="0"/>
    <x v="3"/>
    <n v="162.9"/>
    <n v="206.7"/>
    <n v="169"/>
    <n v="169.5"/>
    <n v="194.1"/>
    <n v="164.1"/>
    <n v="176.9"/>
    <n v="169"/>
    <n v="120.8"/>
    <n v="199.1"/>
    <n v="175.4"/>
    <n v="184.8"/>
    <n v="175.5"/>
    <n v="2267.8000000000002"/>
    <n v="5.3196205337354601E-3"/>
  </r>
  <r>
    <x v="0"/>
    <x v="4"/>
    <n v="164.7"/>
    <n v="208.8"/>
    <n v="170.3"/>
    <n v="170.9"/>
    <n v="191.6"/>
    <n v="162.19999999999999"/>
    <n v="184.8"/>
    <n v="169.7"/>
    <n v="121.1"/>
    <n v="201.6"/>
    <n v="175.8"/>
    <n v="185.6"/>
    <n v="177.4"/>
    <n v="2284.5"/>
    <n v="7.3639650762853098E-3"/>
  </r>
  <r>
    <x v="0"/>
    <x v="5"/>
    <n v="166.9"/>
    <n v="207.2"/>
    <n v="180.2"/>
    <n v="172.3"/>
    <n v="194"/>
    <n v="159.1"/>
    <n v="171.6"/>
    <n v="170.2"/>
    <n v="121.5"/>
    <n v="204.8"/>
    <n v="176.4"/>
    <n v="186.9"/>
    <n v="176.6"/>
    <n v="2287.6999999999998"/>
    <n v="1.4007441453271301E-3"/>
  </r>
  <r>
    <x v="0"/>
    <x v="6"/>
    <n v="168.8"/>
    <n v="206.9"/>
    <n v="189.1"/>
    <n v="173.4"/>
    <n v="193.9"/>
    <n v="156.69999999999999"/>
    <n v="150.19999999999999"/>
    <n v="170.5"/>
    <n v="121.2"/>
    <n v="207.5"/>
    <n v="176.8"/>
    <n v="187.7"/>
    <n v="174.4"/>
    <n v="2277.1"/>
    <n v="-4.6334746688813698E-3"/>
  </r>
  <r>
    <x v="0"/>
    <x v="7"/>
    <n v="174"/>
    <n v="208.3"/>
    <n v="192.9"/>
    <n v="174.3"/>
    <n v="192.6"/>
    <n v="156.30000000000001"/>
    <n v="142.9"/>
    <n v="170.7"/>
    <n v="120.3"/>
    <n v="210.5"/>
    <n v="176.9"/>
    <n v="188.5"/>
    <n v="175"/>
    <n v="2283.2000000000003"/>
    <n v="2.6788459004876198E-3"/>
  </r>
  <r>
    <x v="0"/>
    <x v="8"/>
    <n v="174.2"/>
    <n v="205.2"/>
    <n v="173.9"/>
    <n v="177"/>
    <n v="183.4"/>
    <n v="167.2"/>
    <n v="140.9"/>
    <n v="170.4"/>
    <n v="119.1"/>
    <n v="212.1"/>
    <n v="177.6"/>
    <n v="189.9"/>
    <n v="174.8"/>
    <n v="2265.6999999999998"/>
    <n v="-7.6646811492643904E-3"/>
  </r>
  <r>
    <x v="0"/>
    <x v="9"/>
    <n v="174.3"/>
    <n v="205.2"/>
    <n v="173.9"/>
    <n v="177"/>
    <n v="183.3"/>
    <n v="167.2"/>
    <n v="140.9"/>
    <n v="170.5"/>
    <n v="119.1"/>
    <n v="212.1"/>
    <n v="177.6"/>
    <n v="189.9"/>
    <n v="174.8"/>
    <n v="2265.8000000000002"/>
    <n v="4.4136469965292803E-5"/>
  </r>
  <r>
    <x v="0"/>
    <x v="10"/>
    <n v="173.3"/>
    <n v="206.9"/>
    <n v="167.9"/>
    <n v="178.2"/>
    <n v="178.5"/>
    <n v="173.7"/>
    <n v="142.80000000000001"/>
    <n v="172.8"/>
    <n v="120.4"/>
    <n v="215.5"/>
    <n v="178.2"/>
    <n v="190.5"/>
    <n v="175.5"/>
    <n v="2274.1999999999998"/>
    <n v="3.70729984994246E-3"/>
  </r>
  <r>
    <x v="0"/>
    <x v="11"/>
    <n v="173.2"/>
    <n v="211.5"/>
    <n v="171"/>
    <n v="179.6"/>
    <n v="173.3"/>
    <n v="169"/>
    <n v="148.69999999999999"/>
    <n v="174.9"/>
    <n v="121.9"/>
    <n v="221"/>
    <n v="178.7"/>
    <n v="191.1"/>
    <n v="176.8"/>
    <n v="2290.7000000000007"/>
    <n v="7.2552985665292899E-3"/>
  </r>
  <r>
    <x v="1"/>
    <x v="0"/>
    <n v="155"/>
    <n v="219.4"/>
    <n v="170.8"/>
    <n v="165.8"/>
    <n v="200.9"/>
    <n v="169.7"/>
    <n v="182.3"/>
    <n v="164.3"/>
    <n v="119.9"/>
    <n v="187.1"/>
    <n v="167.9"/>
    <n v="183.9"/>
    <n v="174.9"/>
    <n v="2261.9"/>
    <n v="1.02729018714545E-2"/>
  </r>
  <r>
    <x v="1"/>
    <x v="1"/>
    <n v="156.5"/>
    <n v="213"/>
    <n v="175.2"/>
    <n v="166.6"/>
    <n v="195.8"/>
    <n v="174.2"/>
    <n v="182.1"/>
    <n v="164.3"/>
    <n v="120"/>
    <n v="190"/>
    <n v="168.4"/>
    <n v="185.2"/>
    <n v="175"/>
    <n v="2266.3000000000002"/>
    <n v="1.9452672531942599E-3"/>
  </r>
  <r>
    <x v="1"/>
    <x v="2"/>
    <n v="160.30000000000001"/>
    <n v="206.5"/>
    <n v="169.2"/>
    <n v="168.1"/>
    <n v="192.4"/>
    <n v="172.9"/>
    <n v="186.7"/>
    <n v="167.2"/>
    <n v="120.9"/>
    <n v="193.6"/>
    <n v="168.8"/>
    <n v="186.3"/>
    <n v="176.3"/>
    <n v="2269.2000000000003"/>
    <n v="1.2796187618585801E-3"/>
  </r>
  <r>
    <x v="1"/>
    <x v="3"/>
    <n v="163.5"/>
    <n v="209.2"/>
    <n v="169.7"/>
    <n v="169.7"/>
    <n v="188.7"/>
    <n v="165.7"/>
    <n v="191.8"/>
    <n v="169.1"/>
    <n v="121.6"/>
    <n v="197.3"/>
    <n v="169.4"/>
    <n v="187.4"/>
    <n v="177.8"/>
    <n v="2280.9"/>
    <n v="5.1560021152828404E-3"/>
  </r>
  <r>
    <x v="1"/>
    <x v="4"/>
    <n v="165.2"/>
    <n v="210.9"/>
    <n v="170.9"/>
    <n v="170.9"/>
    <n v="186.5"/>
    <n v="163.80000000000001"/>
    <n v="199.7"/>
    <n v="169.8"/>
    <n v="121.9"/>
    <n v="199.9"/>
    <n v="169.9"/>
    <n v="188.3"/>
    <n v="179.6"/>
    <n v="2297.3000000000002"/>
    <n v="7.1901442413082996E-3"/>
  </r>
  <r>
    <x v="1"/>
    <x v="5"/>
    <n v="167.4"/>
    <n v="209.4"/>
    <n v="181.4"/>
    <n v="172.3"/>
    <n v="188.9"/>
    <n v="160.69999999999999"/>
    <n v="183.1"/>
    <n v="170.5"/>
    <n v="122.1"/>
    <n v="202.8"/>
    <n v="170.4"/>
    <n v="189.5"/>
    <n v="178.3"/>
    <n v="2296.8000000000002"/>
    <n v="-2.1764680276846701E-4"/>
  </r>
  <r>
    <x v="1"/>
    <x v="6"/>
    <n v="169.2"/>
    <n v="209"/>
    <n v="190.2"/>
    <n v="173.6"/>
    <n v="188.5"/>
    <n v="158"/>
    <n v="159.9"/>
    <n v="170.8"/>
    <n v="121.8"/>
    <n v="205.2"/>
    <n v="171"/>
    <n v="190.3"/>
    <n v="175.9"/>
    <n v="2283.4"/>
    <n v="-5.83420411006622E-3"/>
  </r>
  <r>
    <x v="1"/>
    <x v="7"/>
    <n v="173.8"/>
    <n v="210.7"/>
    <n v="194.5"/>
    <n v="174.6"/>
    <n v="187.2"/>
    <n v="158.30000000000001"/>
    <n v="153.9"/>
    <n v="170.9"/>
    <n v="121.1"/>
    <n v="208.4"/>
    <n v="171.4"/>
    <n v="191.2"/>
    <n v="176.7"/>
    <n v="2292.6999999999998"/>
    <n v="4.0728737847068996E-3"/>
  </r>
  <r>
    <x v="1"/>
    <x v="8"/>
    <n v="174.4"/>
    <n v="207.7"/>
    <n v="175.2"/>
    <n v="177.3"/>
    <n v="179.3"/>
    <n v="169.5"/>
    <n v="152.69999999999999"/>
    <n v="171"/>
    <n v="120"/>
    <n v="209.7"/>
    <n v="172.3"/>
    <n v="193"/>
    <n v="177"/>
    <n v="2279.1"/>
    <n v="-5.9318707201116202E-3"/>
  </r>
  <r>
    <x v="1"/>
    <x v="9"/>
    <n v="174.4"/>
    <n v="207.7"/>
    <n v="175.2"/>
    <n v="177.3"/>
    <n v="179.2"/>
    <n v="169.5"/>
    <n v="152.80000000000001"/>
    <n v="171.1"/>
    <n v="120"/>
    <n v="209.7"/>
    <n v="172.3"/>
    <n v="193"/>
    <n v="177"/>
    <n v="2279.1999999999998"/>
    <n v="4.3876968978943E-5"/>
  </r>
  <r>
    <x v="1"/>
    <x v="10"/>
    <n v="173.8"/>
    <n v="209.3"/>
    <n v="169.6"/>
    <n v="178.4"/>
    <n v="174.9"/>
    <n v="176.3"/>
    <n v="155.4"/>
    <n v="173.4"/>
    <n v="121.3"/>
    <n v="212.9"/>
    <n v="172.9"/>
    <n v="193.5"/>
    <n v="177.9"/>
    <n v="2289.6000000000004"/>
    <n v="4.5630045630047997E-3"/>
  </r>
  <r>
    <x v="1"/>
    <x v="11"/>
    <n v="173.7"/>
    <n v="214.3"/>
    <n v="173.2"/>
    <n v="179.5"/>
    <n v="170"/>
    <n v="172.2"/>
    <n v="161"/>
    <n v="175.6"/>
    <n v="122.7"/>
    <n v="218"/>
    <n v="173.4"/>
    <n v="194.2"/>
    <n v="179.1"/>
    <n v="2306.9"/>
    <n v="7.5559049615652202E-3"/>
  </r>
  <r>
    <x v="2"/>
    <x v="0"/>
    <n v="157.5"/>
    <n v="223.4"/>
    <n v="172.8"/>
    <n v="166.4"/>
    <n v="188.6"/>
    <n v="174.1"/>
    <n v="211.5"/>
    <n v="163.6"/>
    <n v="121.4"/>
    <n v="183.5"/>
    <n v="159.1"/>
    <n v="186.3"/>
    <n v="179.3"/>
    <n v="2287.5"/>
    <n v="1.11838033772433E-2"/>
  </r>
  <r>
    <x v="2"/>
    <x v="1"/>
    <n v="159.30000000000001"/>
    <n v="217.1"/>
    <n v="176.6"/>
    <n v="167.1"/>
    <n v="184.8"/>
    <n v="179.5"/>
    <n v="208.5"/>
    <n v="164"/>
    <n v="121.5"/>
    <n v="186.3"/>
    <n v="159.80000000000001"/>
    <n v="187.7"/>
    <n v="179.4"/>
    <n v="2291.6"/>
    <n v="1.79234972677592E-3"/>
  </r>
  <r>
    <x v="2"/>
    <x v="2"/>
    <n v="162.1"/>
    <n v="210.9"/>
    <n v="170.6"/>
    <n v="168.4"/>
    <n v="182.5"/>
    <n v="177.1"/>
    <n v="213.1"/>
    <n v="167.3"/>
    <n v="122.2"/>
    <n v="189.7"/>
    <n v="160.5"/>
    <n v="188.9"/>
    <n v="180.4"/>
    <n v="2293.6999999999998"/>
    <n v="9.1639029499036005E-4"/>
  </r>
  <r>
    <x v="2"/>
    <x v="3"/>
    <n v="164.9"/>
    <n v="213.7"/>
    <n v="170.9"/>
    <n v="170.1"/>
    <n v="179.3"/>
    <n v="167.5"/>
    <n v="220.8"/>
    <n v="169.2"/>
    <n v="123.1"/>
    <n v="193.6"/>
    <n v="161.1"/>
    <n v="190.4"/>
    <n v="181.8"/>
    <n v="2306.4"/>
    <n v="5.5369054366308902E-3"/>
  </r>
  <r>
    <x v="2"/>
    <x v="4"/>
    <n v="166.4"/>
    <n v="214.9"/>
    <n v="171.9"/>
    <n v="171"/>
    <n v="177.7"/>
    <n v="165.7"/>
    <n v="228.6"/>
    <n v="169.9"/>
    <n v="123.4"/>
    <n v="196.4"/>
    <n v="161.6"/>
    <n v="191.5"/>
    <n v="183.3"/>
    <n v="2322.3000000000002"/>
    <n v="6.89386056191471E-3"/>
  </r>
  <r>
    <x v="2"/>
    <x v="5"/>
    <n v="168.4"/>
    <n v="213.4"/>
    <n v="183.2"/>
    <n v="172.3"/>
    <n v="180"/>
    <n v="162.6"/>
    <n v="205.5"/>
    <n v="171"/>
    <n v="123.4"/>
    <n v="198.8"/>
    <n v="162.1"/>
    <n v="192.4"/>
    <n v="181.3"/>
    <n v="2314.4"/>
    <n v="-3.4017999397149799E-3"/>
  </r>
  <r>
    <x v="2"/>
    <x v="6"/>
    <n v="170.2"/>
    <n v="212.9"/>
    <n v="191.9"/>
    <n v="173.9"/>
    <n v="179.1"/>
    <n v="159.5"/>
    <n v="178.7"/>
    <n v="171.3"/>
    <n v="123.1"/>
    <n v="200.5"/>
    <n v="162.80000000000001"/>
    <n v="193.3"/>
    <n v="178.6"/>
    <n v="2295.7999999999997"/>
    <n v="-8.0366401659178899E-3"/>
  </r>
  <r>
    <x v="2"/>
    <x v="7"/>
    <n v="173.3"/>
    <n v="215.2"/>
    <n v="197"/>
    <n v="175.2"/>
    <n v="178"/>
    <n v="160.5"/>
    <n v="175.3"/>
    <n v="171.2"/>
    <n v="122.7"/>
    <n v="204.3"/>
    <n v="163.69999999999999"/>
    <n v="194.3"/>
    <n v="179.5"/>
    <n v="2310.2000000000003"/>
    <n v="6.2723233731163596E-3"/>
  </r>
  <r>
    <x v="2"/>
    <x v="8"/>
    <n v="174.7"/>
    <n v="212.2"/>
    <n v="177.2"/>
    <n v="177.9"/>
    <n v="172.2"/>
    <n v="172.1"/>
    <n v="175.8"/>
    <n v="172.2"/>
    <n v="121.9"/>
    <n v="204.8"/>
    <n v="164.9"/>
    <n v="196.6"/>
    <n v="180.7"/>
    <n v="2303.1999999999998"/>
    <n v="-3.0300406891180199E-3"/>
  </r>
  <r>
    <x v="2"/>
    <x v="9"/>
    <n v="174.7"/>
    <n v="212.2"/>
    <n v="177.2"/>
    <n v="177.9"/>
    <n v="172.2"/>
    <n v="172.1"/>
    <n v="175.9"/>
    <n v="172.2"/>
    <n v="121.9"/>
    <n v="204.8"/>
    <n v="164.9"/>
    <n v="196.6"/>
    <n v="180.8"/>
    <n v="2303.4"/>
    <n v="8.6835706842772198E-5"/>
  </r>
  <r>
    <x v="2"/>
    <x v="10"/>
    <n v="174.8"/>
    <n v="213.7"/>
    <n v="172.4"/>
    <n v="178.8"/>
    <n v="168.7"/>
    <n v="179.2"/>
    <n v="179.9"/>
    <n v="174.7"/>
    <n v="123.1"/>
    <n v="207.8"/>
    <n v="165.5"/>
    <n v="197"/>
    <n v="182.1"/>
    <n v="2317.7000000000003"/>
    <n v="6.2082139446037101E-3"/>
  </r>
  <r>
    <x v="2"/>
    <x v="11"/>
    <n v="174.7"/>
    <n v="219.4"/>
    <n v="176.7"/>
    <n v="179.4"/>
    <n v="164.4"/>
    <n v="175.8"/>
    <n v="185"/>
    <n v="176.9"/>
    <n v="124.2"/>
    <n v="211.9"/>
    <n v="165.9"/>
    <n v="197.7"/>
    <n v="183.1"/>
    <n v="2335.1"/>
    <n v="7.5074427233894096E-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x v="0"/>
    <n v="153.80000000000001"/>
    <n v="173.2"/>
    <n v="19.399999999999977"/>
  </r>
  <r>
    <x v="0"/>
    <x v="1"/>
    <n v="169.6"/>
    <n v="171"/>
    <n v="1.4000000000000057"/>
  </r>
  <r>
    <x v="0"/>
    <x v="2"/>
    <n v="172.4"/>
    <n v="176.8"/>
    <n v="4.4000000000000057"/>
  </r>
  <r>
    <x v="0"/>
    <x v="3"/>
    <n v="165.8"/>
    <n v="169"/>
    <n v="3.1999999999999886"/>
  </r>
  <r>
    <x v="0"/>
    <x v="4"/>
    <n v="217.2"/>
    <n v="211.5"/>
    <n v="-5.6999999999999886"/>
  </r>
  <r>
    <x v="0"/>
    <x v="5"/>
    <n v="165.4"/>
    <n v="179.6"/>
    <n v="14.199999999999989"/>
  </r>
  <r>
    <x v="0"/>
    <x v="6"/>
    <n v="174.2"/>
    <n v="178.7"/>
    <n v="4.5"/>
  </r>
  <r>
    <x v="0"/>
    <x v="7"/>
    <n v="208.1"/>
    <n v="173.3"/>
    <n v="-34.799999999999983"/>
  </r>
  <r>
    <x v="0"/>
    <x v="8"/>
    <n v="181.9"/>
    <n v="191.1"/>
    <n v="9.1999999999999886"/>
  </r>
  <r>
    <x v="0"/>
    <x v="9"/>
    <n v="164.6"/>
    <n v="174.9"/>
    <n v="10.300000000000011"/>
  </r>
  <r>
    <x v="0"/>
    <x v="10"/>
    <n v="188.9"/>
    <n v="221"/>
    <n v="32.099999999999994"/>
  </r>
  <r>
    <x v="0"/>
    <x v="11"/>
    <n v="119.1"/>
    <n v="121.9"/>
    <n v="2.8000000000000114"/>
  </r>
  <r>
    <x v="0"/>
    <x v="12"/>
    <n v="167.3"/>
    <n v="148.69999999999999"/>
    <n v="-18.600000000000023"/>
  </r>
  <r>
    <x v="1"/>
    <x v="0"/>
    <n v="155"/>
    <n v="173.7"/>
    <n v="18.699999999999989"/>
  </r>
  <r>
    <x v="1"/>
    <x v="1"/>
    <n v="170.8"/>
    <n v="173.2"/>
    <n v="2.3999999999999773"/>
  </r>
  <r>
    <x v="1"/>
    <x v="2"/>
    <n v="174.9"/>
    <n v="179.1"/>
    <n v="4.1999999999999886"/>
  </r>
  <r>
    <x v="1"/>
    <x v="3"/>
    <n v="169.7"/>
    <n v="172.2"/>
    <n v="2.5"/>
  </r>
  <r>
    <x v="1"/>
    <x v="4"/>
    <n v="219.4"/>
    <n v="214.3"/>
    <n v="-5.0999999999999943"/>
  </r>
  <r>
    <x v="1"/>
    <x v="5"/>
    <n v="165.8"/>
    <n v="179.5"/>
    <n v="13.699999999999989"/>
  </r>
  <r>
    <x v="1"/>
    <x v="6"/>
    <n v="167.9"/>
    <n v="173.4"/>
    <n v="5.5"/>
  </r>
  <r>
    <x v="1"/>
    <x v="7"/>
    <n v="200.9"/>
    <n v="170"/>
    <n v="-30.900000000000006"/>
  </r>
  <r>
    <x v="1"/>
    <x v="8"/>
    <n v="183.9"/>
    <n v="194.2"/>
    <n v="10.299999999999983"/>
  </r>
  <r>
    <x v="1"/>
    <x v="9"/>
    <n v="164.3"/>
    <n v="175.6"/>
    <n v="11.299999999999983"/>
  </r>
  <r>
    <x v="1"/>
    <x v="10"/>
    <n v="187.1"/>
    <n v="218"/>
    <n v="30.900000000000006"/>
  </r>
  <r>
    <x v="1"/>
    <x v="11"/>
    <n v="119.9"/>
    <n v="122.7"/>
    <n v="2.7999999999999972"/>
  </r>
  <r>
    <x v="1"/>
    <x v="12"/>
    <n v="182.3"/>
    <n v="161"/>
    <n v="-21.300000000000011"/>
  </r>
  <r>
    <x v="2"/>
    <x v="0"/>
    <n v="157.5"/>
    <n v="174.7"/>
    <n v="17.199999999999989"/>
  </r>
  <r>
    <x v="2"/>
    <x v="1"/>
    <n v="172.8"/>
    <n v="176.7"/>
    <n v="3.8999999999999773"/>
  </r>
  <r>
    <x v="2"/>
    <x v="2"/>
    <n v="179.3"/>
    <n v="183.1"/>
    <n v="3.7999999999999829"/>
  </r>
  <r>
    <x v="2"/>
    <x v="3"/>
    <n v="174.1"/>
    <n v="175.8"/>
    <n v="1.7000000000000171"/>
  </r>
  <r>
    <x v="2"/>
    <x v="4"/>
    <n v="223.4"/>
    <n v="219.4"/>
    <n v="-4"/>
  </r>
  <r>
    <x v="2"/>
    <x v="5"/>
    <n v="166.4"/>
    <n v="179.4"/>
    <n v="13"/>
  </r>
  <r>
    <x v="2"/>
    <x v="6"/>
    <n v="159.1"/>
    <n v="165.9"/>
    <n v="6.8000000000000114"/>
  </r>
  <r>
    <x v="2"/>
    <x v="7"/>
    <n v="188.6"/>
    <n v="164.4"/>
    <n v="-24.199999999999989"/>
  </r>
  <r>
    <x v="2"/>
    <x v="8"/>
    <n v="186.3"/>
    <n v="197.7"/>
    <n v="11.399999999999977"/>
  </r>
  <r>
    <x v="2"/>
    <x v="9"/>
    <n v="163.6"/>
    <n v="176.9"/>
    <n v="13.300000000000011"/>
  </r>
  <r>
    <x v="2"/>
    <x v="10"/>
    <n v="183.5"/>
    <n v="211.9"/>
    <n v="28.400000000000006"/>
  </r>
  <r>
    <x v="2"/>
    <x v="11"/>
    <n v="121.4"/>
    <n v="124.2"/>
    <n v="2.7999999999999972"/>
  </r>
  <r>
    <x v="2"/>
    <x v="12"/>
    <n v="211.5"/>
    <n v="185"/>
    <n v="-26.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s v="Cereals and products"/>
    <n v="136.9"/>
    <n v="144.19999999999999"/>
    <x v="0"/>
  </r>
  <r>
    <x v="0"/>
    <x v="0"/>
    <s v="Egg"/>
    <n v="138.69999999999999"/>
    <n v="150.9"/>
    <x v="1"/>
  </r>
  <r>
    <x v="0"/>
    <x v="0"/>
    <s v="Food and beverages"/>
    <n v="137.30000000000001"/>
    <n v="149.80000000000001"/>
    <x v="2"/>
  </r>
  <r>
    <x v="0"/>
    <x v="0"/>
    <s v="Fruits"/>
    <n v="136.1"/>
    <n v="140.69999999999999"/>
    <x v="3"/>
  </r>
  <r>
    <x v="0"/>
    <x v="1"/>
    <s v="Fuel and light"/>
    <n v="146.4"/>
    <n v="152.30000000000001"/>
    <x v="4"/>
  </r>
  <r>
    <x v="0"/>
    <x v="2"/>
    <s v="Health"/>
    <n v="150.4"/>
    <n v="156.19999999999999"/>
    <x v="5"/>
  </r>
  <r>
    <x v="0"/>
    <x v="0"/>
    <s v="Meat and fish"/>
    <n v="154.1"/>
    <n v="167.5"/>
    <x v="6"/>
  </r>
  <r>
    <x v="0"/>
    <x v="0"/>
    <s v="Milk and products"/>
    <n v="142.5"/>
    <n v="150.9"/>
    <x v="7"/>
  </r>
  <r>
    <x v="0"/>
    <x v="0"/>
    <s v="Non-alcoholic beverages"/>
    <n v="137.4"/>
    <n v="140.1"/>
    <x v="8"/>
  </r>
  <r>
    <x v="0"/>
    <x v="0"/>
    <s v="Oils and fats"/>
    <n v="124.1"/>
    <n v="133.69999999999999"/>
    <x v="9"/>
  </r>
  <r>
    <x v="0"/>
    <x v="0"/>
    <s v="Prepared meals, snacks, sweets etc."/>
    <n v="156.4"/>
    <n v="159.19999999999999"/>
    <x v="10"/>
  </r>
  <r>
    <x v="0"/>
    <x v="0"/>
    <s v="Pulses and products"/>
    <n v="122.3"/>
    <n v="141.80000000000001"/>
    <x v="11"/>
  </r>
  <r>
    <x v="0"/>
    <x v="0"/>
    <s v="Spices"/>
    <n v="138.9"/>
    <n v="152.80000000000001"/>
    <x v="12"/>
  </r>
  <r>
    <x v="0"/>
    <x v="0"/>
    <s v="Sugar and Confectionery"/>
    <n v="108.3"/>
    <n v="113.1"/>
    <x v="13"/>
  </r>
  <r>
    <x v="0"/>
    <x v="1"/>
    <s v="Transport and communication"/>
    <n v="129.9"/>
    <n v="136"/>
    <x v="14"/>
  </r>
  <r>
    <x v="0"/>
    <x v="0"/>
    <s v="Vegetables"/>
    <n v="128.19999999999999"/>
    <n v="165.1"/>
    <x v="15"/>
  </r>
  <r>
    <x v="1"/>
    <x v="0"/>
    <s v="Cereals and products"/>
    <n v="137.80000000000001"/>
    <n v="144.80000000000001"/>
    <x v="16"/>
  </r>
  <r>
    <x v="1"/>
    <x v="0"/>
    <s v="Egg"/>
    <n v="140.30000000000001"/>
    <n v="151.80000000000001"/>
    <x v="17"/>
  </r>
  <r>
    <x v="1"/>
    <x v="0"/>
    <s v="Food and beverages"/>
    <n v="138.1"/>
    <n v="150.5"/>
    <x v="18"/>
  </r>
  <r>
    <x v="1"/>
    <x v="0"/>
    <s v="Fruits"/>
    <n v="137.6"/>
    <n v="141.80000000000001"/>
    <x v="19"/>
  </r>
  <r>
    <x v="1"/>
    <x v="1"/>
    <s v="Fuel and light"/>
    <n v="139.69999999999999"/>
    <n v="147.19999999999999"/>
    <x v="20"/>
  </r>
  <r>
    <x v="1"/>
    <x v="2"/>
    <s v="Health"/>
    <n v="146.19999999999999"/>
    <n v="151.69999999999999"/>
    <x v="21"/>
  </r>
  <r>
    <x v="1"/>
    <x v="0"/>
    <s v="Meat and fish"/>
    <n v="153"/>
    <n v="167.5"/>
    <x v="22"/>
  </r>
  <r>
    <x v="1"/>
    <x v="0"/>
    <s v="Milk and products"/>
    <n v="142.30000000000001"/>
    <n v="150.80000000000001"/>
    <x v="23"/>
  </r>
  <r>
    <x v="1"/>
    <x v="0"/>
    <s v="Non-alcoholic beverages"/>
    <n v="133.69999999999999"/>
    <n v="136.5"/>
    <x v="24"/>
  </r>
  <r>
    <x v="1"/>
    <x v="0"/>
    <s v="Oils and fats"/>
    <n v="122"/>
    <n v="131.4"/>
    <x v="25"/>
  </r>
  <r>
    <x v="1"/>
    <x v="0"/>
    <s v="Prepared meals, snacks, sweets etc."/>
    <n v="155.19999999999999"/>
    <n v="159.1"/>
    <x v="26"/>
  </r>
  <r>
    <x v="1"/>
    <x v="0"/>
    <s v="Pulses and products"/>
    <n v="121.8"/>
    <n v="141.1"/>
    <x v="27"/>
  </r>
  <r>
    <x v="1"/>
    <x v="0"/>
    <s v="Spices"/>
    <n v="139.5"/>
    <n v="152"/>
    <x v="28"/>
  </r>
  <r>
    <x v="1"/>
    <x v="0"/>
    <s v="Sugar and Confectionery"/>
    <n v="109"/>
    <n v="113.6"/>
    <x v="29"/>
  </r>
  <r>
    <x v="1"/>
    <x v="1"/>
    <s v="Transport and communication"/>
    <n v="124.6"/>
    <n v="130.30000000000001"/>
    <x v="30"/>
  </r>
  <r>
    <x v="1"/>
    <x v="0"/>
    <s v="Vegetables"/>
    <n v="132.6"/>
    <n v="170.7"/>
    <x v="31"/>
  </r>
  <r>
    <x v="2"/>
    <x v="0"/>
    <s v="Cereals and products"/>
    <n v="139.69999999999999"/>
    <n v="146.19999999999999"/>
    <x v="32"/>
  </r>
  <r>
    <x v="2"/>
    <x v="0"/>
    <s v="Egg"/>
    <n v="142.9"/>
    <n v="153.1"/>
    <x v="33"/>
  </r>
  <r>
    <x v="2"/>
    <x v="0"/>
    <s v="Food and beverages"/>
    <n v="139.6"/>
    <n v="151.69999999999999"/>
    <x v="34"/>
  </r>
  <r>
    <x v="2"/>
    <x v="0"/>
    <s v="Fruits"/>
    <n v="139.4"/>
    <n v="143.1"/>
    <x v="35"/>
  </r>
  <r>
    <x v="2"/>
    <x v="1"/>
    <s v="Fuel and light"/>
    <n v="128.80000000000001"/>
    <n v="138.9"/>
    <x v="36"/>
  </r>
  <r>
    <x v="2"/>
    <x v="2"/>
    <s v="Health"/>
    <n v="139.19999999999999"/>
    <n v="144.4"/>
    <x v="37"/>
  </r>
  <r>
    <x v="2"/>
    <x v="0"/>
    <s v="Meat and fish"/>
    <n v="151.1"/>
    <n v="167.6"/>
    <x v="38"/>
  </r>
  <r>
    <x v="2"/>
    <x v="0"/>
    <s v="Milk and products"/>
    <n v="141.9"/>
    <n v="150.69999999999999"/>
    <x v="39"/>
  </r>
  <r>
    <x v="2"/>
    <x v="0"/>
    <s v="Non-alcoholic beverages"/>
    <n v="128.5"/>
    <n v="131.5"/>
    <x v="40"/>
  </r>
  <r>
    <x v="2"/>
    <x v="0"/>
    <s v="Oils and fats"/>
    <n v="118.4"/>
    <n v="127.4"/>
    <x v="41"/>
  </r>
  <r>
    <x v="2"/>
    <x v="0"/>
    <s v="Prepared meals, snacks, sweets etc."/>
    <n v="153.9"/>
    <n v="159"/>
    <x v="42"/>
  </r>
  <r>
    <x v="2"/>
    <x v="0"/>
    <s v="Pulses and products"/>
    <n v="120.7"/>
    <n v="139.6"/>
    <x v="43"/>
  </r>
  <r>
    <x v="2"/>
    <x v="0"/>
    <s v="Spices"/>
    <n v="140.69999999999999"/>
    <n v="150.4"/>
    <x v="44"/>
  </r>
  <r>
    <x v="2"/>
    <x v="0"/>
    <s v="Sugar and Confectionery"/>
    <n v="110.4"/>
    <n v="114.6"/>
    <x v="45"/>
  </r>
  <r>
    <x v="2"/>
    <x v="1"/>
    <s v="Transport and communication"/>
    <n v="119.9"/>
    <n v="125.2"/>
    <x v="46"/>
  </r>
  <r>
    <x v="2"/>
    <x v="0"/>
    <s v="Vegetables"/>
    <n v="141.19999999999999"/>
    <n v="181.7"/>
    <x v="47"/>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s v="Cereals and products"/>
    <n v="144.4"/>
    <n v="142.80000000000001"/>
    <n v="-1.1080332409972259E-2"/>
  </r>
  <r>
    <x v="0"/>
    <x v="0"/>
    <s v="Egg"/>
    <n v="147.6"/>
    <n v="168"/>
    <n v="0.13821138211382117"/>
  </r>
  <r>
    <x v="0"/>
    <x v="0"/>
    <s v="Food and beverages"/>
    <n v="148.19999999999999"/>
    <n v="154.69999999999999"/>
    <n v="4.3859649122807022E-2"/>
  </r>
  <r>
    <x v="0"/>
    <x v="0"/>
    <s v="Fruits"/>
    <n v="141.80000000000001"/>
    <n v="147.80000000000001"/>
    <n v="4.2313117066290547E-2"/>
  </r>
  <r>
    <x v="0"/>
    <x v="1"/>
    <s v="Fuel and light"/>
    <n v="153.4"/>
    <n v="154.4"/>
    <n v="6.5189048239895691E-3"/>
  </r>
  <r>
    <x v="0"/>
    <x v="2"/>
    <s v="Health"/>
    <n v="156.69999999999999"/>
    <n v="164.3"/>
    <n v="4.8500319081046732E-2"/>
  </r>
  <r>
    <x v="0"/>
    <x v="0"/>
    <s v="Meat and fish"/>
    <n v="166.8"/>
    <n v="184"/>
    <n v="0.10311750599520376"/>
  </r>
  <r>
    <x v="0"/>
    <x v="0"/>
    <s v="Milk and products"/>
    <n v="151.69999999999999"/>
    <n v="154.4"/>
    <n v="1.7798286090969132E-2"/>
  </r>
  <r>
    <x v="0"/>
    <x v="0"/>
    <s v="Non-alcoholic beverages"/>
    <n v="140.1"/>
    <n v="160"/>
    <n v="0.14204139900071383"/>
  </r>
  <r>
    <x v="0"/>
    <x v="0"/>
    <s v="Oils and fats"/>
    <n v="133.30000000000001"/>
    <n v="163"/>
    <n v="0.22280570142535625"/>
  </r>
  <r>
    <x v="0"/>
    <x v="0"/>
    <s v="Prepared meals, snacks, sweets etc."/>
    <n v="160"/>
    <n v="165.8"/>
    <n v="3.6250000000000074E-2"/>
  </r>
  <r>
    <x v="0"/>
    <x v="0"/>
    <s v="Pulses and products"/>
    <n v="141.80000000000001"/>
    <n v="158.30000000000001"/>
    <n v="0.116361071932299"/>
  </r>
  <r>
    <x v="0"/>
    <x v="0"/>
    <s v="Spices"/>
    <n v="154"/>
    <n v="165"/>
    <n v="7.1428571428571425E-2"/>
  </r>
  <r>
    <x v="0"/>
    <x v="0"/>
    <s v="Sugar and Confectionery"/>
    <n v="112.6"/>
    <n v="111.8"/>
    <n v="-7.1047957371225328E-3"/>
  </r>
  <r>
    <x v="0"/>
    <x v="1"/>
    <s v="Transport and communication"/>
    <n v="135.80000000000001"/>
    <n v="150.19999999999999"/>
    <n v="0.10603829160530173"/>
  </r>
  <r>
    <x v="0"/>
    <x v="0"/>
    <s v="Vegetables"/>
    <n v="152.30000000000001"/>
    <n v="149.69999999999999"/>
    <n v="-1.7071569271175459E-2"/>
  </r>
  <r>
    <x v="1"/>
    <x v="0"/>
    <s v="Cereals and products"/>
    <n v="145.1"/>
    <n v="144.30000000000001"/>
    <n v="-5.5134390075808615E-3"/>
  </r>
  <r>
    <x v="1"/>
    <x v="0"/>
    <s v="Egg"/>
    <n v="148.1"/>
    <n v="168.7"/>
    <n v="0.13909520594193109"/>
  </r>
  <r>
    <x v="1"/>
    <x v="0"/>
    <s v="Food and beverages"/>
    <n v="148.9"/>
    <n v="156.9"/>
    <n v="5.3727333781061114E-2"/>
  </r>
  <r>
    <x v="1"/>
    <x v="0"/>
    <s v="Fruits"/>
    <n v="142.5"/>
    <n v="150.69999999999999"/>
    <n v="5.7543859649122731E-2"/>
  </r>
  <r>
    <x v="1"/>
    <x v="1"/>
    <s v="Fuel and light"/>
    <n v="148.9"/>
    <n v="152.4"/>
    <n v="2.3505708529214239E-2"/>
  </r>
  <r>
    <x v="1"/>
    <x v="2"/>
    <s v="Health"/>
    <n v="152.30000000000001"/>
    <n v="161.30000000000001"/>
    <n v="5.9093893630991462E-2"/>
  </r>
  <r>
    <x v="1"/>
    <x v="0"/>
    <s v="Meat and fish"/>
    <n v="167"/>
    <n v="186.5"/>
    <n v="0.11676646706586827"/>
  </r>
  <r>
    <x v="1"/>
    <x v="0"/>
    <s v="Milk and products"/>
    <n v="151.5"/>
    <n v="154.69999999999999"/>
    <n v="2.1122112211221046E-2"/>
  </r>
  <r>
    <x v="1"/>
    <x v="0"/>
    <s v="Non-alcoholic beverages"/>
    <n v="136.69999999999999"/>
    <n v="155.5"/>
    <n v="0.13752743233357728"/>
  </r>
  <r>
    <x v="1"/>
    <x v="0"/>
    <s v="Oils and fats"/>
    <n v="131.19999999999999"/>
    <n v="158.69999999999999"/>
    <n v="0.20960365853658539"/>
  </r>
  <r>
    <x v="1"/>
    <x v="0"/>
    <s v="Prepared meals, snacks, sweets etc."/>
    <n v="159.6"/>
    <n v="167.5"/>
    <n v="4.9498746867167959E-2"/>
  </r>
  <r>
    <x v="1"/>
    <x v="0"/>
    <s v="Pulses and products"/>
    <n v="141.1"/>
    <n v="158.80000000000001"/>
    <n v="0.12544294826364294"/>
  </r>
  <r>
    <x v="1"/>
    <x v="0"/>
    <s v="Spices"/>
    <n v="153.19999999999999"/>
    <n v="164.2"/>
    <n v="7.1801566579634477E-2"/>
  </r>
  <r>
    <x v="1"/>
    <x v="0"/>
    <s v="Sugar and Confectionery"/>
    <n v="113.2"/>
    <n v="112.8"/>
    <n v="-3.5335689045936898E-3"/>
  </r>
  <r>
    <x v="1"/>
    <x v="1"/>
    <s v="Transport and communication"/>
    <n v="129.9"/>
    <n v="145.1"/>
    <n v="0.11701308698999222"/>
  </r>
  <r>
    <x v="1"/>
    <x v="0"/>
    <s v="Vegetables"/>
    <n v="157.30000000000001"/>
    <n v="160"/>
    <n v="1.716465352828982E-2"/>
  </r>
  <r>
    <x v="2"/>
    <x v="0"/>
    <s v="Cereals and products"/>
    <n v="146.5"/>
    <n v="147.6"/>
    <n v="7.5085324232081526E-3"/>
  </r>
  <r>
    <x v="2"/>
    <x v="0"/>
    <s v="Egg"/>
    <n v="148.9"/>
    <n v="169.9"/>
    <n v="0.14103425117528542"/>
  </r>
  <r>
    <x v="2"/>
    <x v="0"/>
    <s v="Food and beverages"/>
    <n v="150.1"/>
    <n v="160.80000000000001"/>
    <n v="7.1285809460359881E-2"/>
  </r>
  <r>
    <x v="2"/>
    <x v="0"/>
    <s v="Fruits"/>
    <n v="143.30000000000001"/>
    <n v="154"/>
    <n v="7.4668527564549808E-2"/>
  </r>
  <r>
    <x v="2"/>
    <x v="1"/>
    <s v="Fuel and light"/>
    <n v="141.4"/>
    <n v="149.1"/>
    <n v="5.4455445544554372E-2"/>
  </r>
  <r>
    <x v="2"/>
    <x v="2"/>
    <s v="Health"/>
    <n v="145"/>
    <n v="156.30000000000001"/>
    <n v="7.7931034482758704E-2"/>
  </r>
  <r>
    <x v="2"/>
    <x v="0"/>
    <s v="Meat and fish"/>
    <n v="167.5"/>
    <n v="191.2"/>
    <n v="0.14149253731343278"/>
  </r>
  <r>
    <x v="2"/>
    <x v="0"/>
    <s v="Milk and products"/>
    <n v="151.1"/>
    <n v="155.1"/>
    <n v="2.6472534745201854E-2"/>
  </r>
  <r>
    <x v="2"/>
    <x v="0"/>
    <s v="Non-alcoholic beverages"/>
    <n v="131.9"/>
    <n v="149.19999999999999"/>
    <n v="0.13115996967399532"/>
  </r>
  <r>
    <x v="2"/>
    <x v="0"/>
    <s v="Oils and fats"/>
    <n v="127.5"/>
    <n v="151.4"/>
    <n v="0.18745098039215691"/>
  </r>
  <r>
    <x v="2"/>
    <x v="0"/>
    <s v="Prepared meals, snacks, sweets etc."/>
    <n v="159.1"/>
    <n v="169.4"/>
    <n v="6.4739157762413652E-2"/>
  </r>
  <r>
    <x v="2"/>
    <x v="0"/>
    <s v="Pulses and products"/>
    <n v="139.69999999999999"/>
    <n v="159.80000000000001"/>
    <n v="0.14387974230493933"/>
  </r>
  <r>
    <x v="2"/>
    <x v="0"/>
    <s v="Spices"/>
    <n v="151.5"/>
    <n v="162.5"/>
    <n v="7.2607260726072612E-2"/>
  </r>
  <r>
    <x v="2"/>
    <x v="0"/>
    <s v="Sugar and Confectionery"/>
    <n v="114.4"/>
    <n v="114.9"/>
    <n v="4.3706293706293701E-3"/>
  </r>
  <r>
    <x v="2"/>
    <x v="1"/>
    <s v="Transport and communication"/>
    <n v="124.6"/>
    <n v="140.5"/>
    <n v="0.12760834670947035"/>
  </r>
  <r>
    <x v="2"/>
    <x v="0"/>
    <s v="Vegetables"/>
    <n v="167"/>
    <n v="180.2"/>
    <n v="7.9041916167664608E-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
  <r>
    <x v="0"/>
    <x v="0"/>
    <n v="-0.2689715479642053"/>
  </r>
  <r>
    <x v="0"/>
    <x v="1"/>
    <n v="0.41675729069907252"/>
  </r>
  <r>
    <x v="0"/>
    <x v="2"/>
    <n v="-0.23642963598017933"/>
  </r>
  <r>
    <x v="0"/>
    <x v="3"/>
    <n v="-0.31672030243039445"/>
  </r>
  <r>
    <x v="0"/>
    <x v="4"/>
    <n v="0.45794786337817667"/>
  </r>
  <r>
    <x v="0"/>
    <x v="5"/>
    <n v="4.6371483370641779E-2"/>
  </r>
  <r>
    <x v="0"/>
    <x v="6"/>
    <n v="-3.603163894990289E-2"/>
  </r>
  <r>
    <x v="0"/>
    <x v="7"/>
    <n v="-0.14718739696059313"/>
  </r>
  <r>
    <x v="0"/>
    <x v="8"/>
    <n v="-9.1492860832719097E-2"/>
  </r>
  <r>
    <x v="0"/>
    <x v="9"/>
    <n v="-0.16203827742380816"/>
  </r>
  <r>
    <x v="0"/>
    <x v="10"/>
    <n v="0.26685649788933463"/>
  </r>
  <r>
    <x v="0"/>
    <x v="11"/>
    <n v="0.12145772953165747"/>
  </r>
  <r>
    <x v="0"/>
    <x v="12"/>
    <n v="1.4268180751240474E-2"/>
  </r>
  <r>
    <x v="0"/>
    <x v="13"/>
    <n v="0.18192881500390021"/>
  </r>
  <r>
    <x v="0"/>
    <x v="14"/>
    <n v="4.4342682414290312E-2"/>
  </r>
  <r>
    <x v="0"/>
    <x v="15"/>
    <n v="0.14774275917802679"/>
  </r>
  <r>
    <x v="0"/>
    <x v="16"/>
    <n v="6.7508285507169613E-2"/>
  </r>
  <r>
    <x v="0"/>
    <x v="17"/>
    <n v="0"/>
  </r>
  <r>
    <x v="0"/>
    <x v="18"/>
    <n v="0.17437167219854494"/>
  </r>
  <r>
    <x v="0"/>
    <x v="19"/>
    <n v="-3.2111812585687856E-2"/>
  </r>
  <r>
    <x v="0"/>
    <x v="20"/>
    <n v="6.5813819784512201E-2"/>
  </r>
  <r>
    <x v="0"/>
    <x v="21"/>
    <n v="9.68629145148205E-2"/>
  </r>
  <r>
    <x v="0"/>
    <x v="22"/>
    <n v="0.31472462220963365"/>
  </r>
  <r>
    <x v="0"/>
    <x v="23"/>
    <n v="-0.12639169099780759"/>
  </r>
  <r>
    <x v="0"/>
    <x v="24"/>
    <n v="1.3641222920231901E-2"/>
  </r>
  <r>
    <x v="0"/>
    <x v="25"/>
    <n v="5.4829204966343345E-2"/>
  </r>
  <r>
    <x v="1"/>
    <x v="0"/>
    <n v="-0.29489047860650452"/>
  </r>
  <r>
    <x v="1"/>
    <x v="1"/>
    <n v="0.43192676344230313"/>
  </r>
  <r>
    <x v="1"/>
    <x v="2"/>
    <n v="-0.20662116893856389"/>
  </r>
  <r>
    <x v="1"/>
    <x v="3"/>
    <n v="-0.28372710484748542"/>
  </r>
  <r>
    <x v="1"/>
    <x v="4"/>
    <n v="0.41018372924887608"/>
  </r>
  <r>
    <x v="1"/>
    <x v="5"/>
    <n v="8.5663233999133476E-2"/>
  </r>
  <r>
    <x v="1"/>
    <x v="6"/>
    <n v="-1.0400312233639294E-2"/>
  </r>
  <r>
    <x v="1"/>
    <x v="7"/>
    <n v="-0.22634574388345158"/>
  </r>
  <r>
    <x v="1"/>
    <x v="8"/>
    <n v="-0.22221165240518317"/>
  </r>
  <r>
    <x v="1"/>
    <x v="9"/>
    <n v="-0.18311410467733549"/>
  </r>
  <r>
    <x v="1"/>
    <x v="10"/>
    <n v="0.21297882367943582"/>
  </r>
  <r>
    <x v="1"/>
    <x v="11"/>
    <n v="7.4899587005580276E-2"/>
  </r>
  <r>
    <x v="1"/>
    <x v="12"/>
    <n v="3.2087377523662787E-2"/>
  </r>
  <r>
    <x v="1"/>
    <x v="13"/>
    <n v="0.13834791316446937"/>
  </r>
  <r>
    <x v="1"/>
    <x v="14"/>
    <n v="4.4761177699084768E-2"/>
  </r>
  <r>
    <x v="1"/>
    <x v="15"/>
    <n v="0.12573720254896992"/>
  </r>
  <r>
    <x v="1"/>
    <x v="16"/>
    <n v="6.7783366543956267E-2"/>
  </r>
  <r>
    <x v="1"/>
    <x v="17"/>
    <n v="8.038447547698796E-2"/>
  </r>
  <r>
    <x v="1"/>
    <x v="18"/>
    <n v="0.16035398817855198"/>
  </r>
  <r>
    <x v="1"/>
    <x v="19"/>
    <n v="-6.2288794200627752E-2"/>
  </r>
  <r>
    <x v="1"/>
    <x v="20"/>
    <n v="3.3186532208274007E-2"/>
  </r>
  <r>
    <x v="1"/>
    <x v="21"/>
    <n v="0.12208683915414072"/>
  </r>
  <r>
    <x v="1"/>
    <x v="22"/>
    <n v="9.930169965336276E-2"/>
  </r>
  <r>
    <x v="1"/>
    <x v="23"/>
    <n v="-0.15297053451068848"/>
  </r>
  <r>
    <x v="1"/>
    <x v="24"/>
    <n v="-4.093782982827315E-3"/>
  </r>
  <r>
    <x v="1"/>
    <x v="25"/>
    <n v="7.3053531301710647E-2"/>
  </r>
  <r>
    <x v="2"/>
    <x v="0"/>
    <n v="-0.3500077673912273"/>
  </r>
  <r>
    <x v="2"/>
    <x v="1"/>
    <n v="0.45328104660015733"/>
  </r>
  <r>
    <x v="2"/>
    <x v="2"/>
    <n v="-0.21270509888977035"/>
  </r>
  <r>
    <x v="2"/>
    <x v="3"/>
    <n v="-0.15343930197421668"/>
  </r>
  <r>
    <x v="2"/>
    <x v="4"/>
    <n v="0.40534275297131661"/>
  </r>
  <r>
    <x v="2"/>
    <x v="5"/>
    <n v="9.4070300589098613E-2"/>
  </r>
  <r>
    <x v="2"/>
    <x v="6"/>
    <n v="1.8608867245583954E-2"/>
  </r>
  <r>
    <x v="2"/>
    <x v="7"/>
    <n v="-0.25470595598470686"/>
  </r>
  <r>
    <x v="2"/>
    <x v="8"/>
    <n v="-0.21852685947331657"/>
  </r>
  <r>
    <x v="2"/>
    <x v="9"/>
    <n v="-0.18977678969256168"/>
  </r>
  <r>
    <x v="2"/>
    <x v="10"/>
    <n v="0.17671277212249198"/>
  </r>
  <r>
    <x v="2"/>
    <x v="11"/>
    <n v="6.472048611006001E-2"/>
  </r>
  <r>
    <x v="2"/>
    <x v="12"/>
    <n v="8.2484549533119803E-2"/>
  </r>
  <r>
    <x v="2"/>
    <x v="13"/>
    <n v="6.7393466631832863E-2"/>
  </r>
  <r>
    <x v="2"/>
    <x v="14"/>
    <n v="0.13797618312356161"/>
  </r>
  <r>
    <x v="2"/>
    <x v="15"/>
    <n v="0.12889535170275918"/>
  </r>
  <r>
    <x v="2"/>
    <x v="16"/>
    <n v="0.1383589587192241"/>
  </r>
  <r>
    <x v="2"/>
    <x v="17"/>
    <n v="8.038447547698796E-2"/>
  </r>
  <r>
    <x v="2"/>
    <x v="18"/>
    <n v="0.14116630845717806"/>
  </r>
  <r>
    <x v="2"/>
    <x v="19"/>
    <n v="-5.4365159163868144E-2"/>
  </r>
  <r>
    <x v="2"/>
    <x v="20"/>
    <n v="0.10631281346438928"/>
  </r>
  <r>
    <x v="2"/>
    <x v="21"/>
    <n v="0.14654743146353977"/>
  </r>
  <r>
    <x v="2"/>
    <x v="22"/>
    <n v="8.7997624723126389E-2"/>
  </r>
  <r>
    <x v="2"/>
    <x v="23"/>
    <n v="-3.7154235049267043E-2"/>
  </r>
  <r>
    <x v="2"/>
    <x v="24"/>
    <n v="-5.5382964978107602E-2"/>
  </r>
  <r>
    <x v="2"/>
    <x v="25"/>
    <n v="0.122051886591659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D32AF8-228A-44D4-81D9-09E59FCB7D4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18:M31" firstHeaderRow="1" firstDataRow="1" firstDataCol="1" rowPageCount="1" colPageCount="1"/>
  <pivotFields count="6">
    <pivotField showAll="0"/>
    <pivotField showAll="0"/>
    <pivotField axis="axisRow" showAll="0">
      <items count="13">
        <item x="2"/>
        <item x="9"/>
        <item x="0"/>
        <item x="4"/>
        <item x="6"/>
        <item x="5"/>
        <item x="3"/>
        <item x="1"/>
        <item x="11"/>
        <item x="10"/>
        <item x="8"/>
        <item x="7"/>
        <item t="default"/>
      </items>
    </pivotField>
    <pivotField showAll="0"/>
    <pivotField axis="axisPage" showAll="0">
      <items count="4">
        <item x="0"/>
        <item x="2"/>
        <item x="1"/>
        <item t="default"/>
      </items>
    </pivotField>
    <pivotField dataField="1" showAll="0"/>
  </pivotFields>
  <rowFields count="1">
    <field x="2"/>
  </rowFields>
  <rowItems count="13">
    <i>
      <x/>
    </i>
    <i>
      <x v="1"/>
    </i>
    <i>
      <x v="2"/>
    </i>
    <i>
      <x v="3"/>
    </i>
    <i>
      <x v="4"/>
    </i>
    <i>
      <x v="5"/>
    </i>
    <i>
      <x v="6"/>
    </i>
    <i>
      <x v="7"/>
    </i>
    <i>
      <x v="8"/>
    </i>
    <i>
      <x v="9"/>
    </i>
    <i>
      <x v="10"/>
    </i>
    <i>
      <x v="11"/>
    </i>
    <i t="grand">
      <x/>
    </i>
  </rowItems>
  <colItems count="1">
    <i/>
  </colItems>
  <pageFields count="1">
    <pageField fld="4" item="0" hier="-1"/>
  </pageFields>
  <dataFields count="1">
    <dataField name="Sum of CPI" fld="5" showDataAs="percentOfTotal" baseField="2" baseItem="0" numFmtId="10"/>
  </dataFields>
  <chartFormats count="13">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 count="1" selected="0">
            <x v="1"/>
          </reference>
        </references>
      </pivotArea>
    </chartFormat>
    <chartFormat chart="5" format="2">
      <pivotArea type="data" outline="0" fieldPosition="0">
        <references count="2">
          <reference field="4294967294" count="1" selected="0">
            <x v="0"/>
          </reference>
          <reference field="2" count="1" selected="0">
            <x v="0"/>
          </reference>
        </references>
      </pivotArea>
    </chartFormat>
    <chartFormat chart="5" format="3">
      <pivotArea type="data" outline="0" fieldPosition="0">
        <references count="2">
          <reference field="4294967294" count="1" selected="0">
            <x v="0"/>
          </reference>
          <reference field="2" count="1" selected="0">
            <x v="11"/>
          </reference>
        </references>
      </pivotArea>
    </chartFormat>
    <chartFormat chart="5" format="4">
      <pivotArea type="data" outline="0" fieldPosition="0">
        <references count="2">
          <reference field="4294967294" count="1" selected="0">
            <x v="0"/>
          </reference>
          <reference field="2" count="1" selected="0">
            <x v="10"/>
          </reference>
        </references>
      </pivotArea>
    </chartFormat>
    <chartFormat chart="5" format="5">
      <pivotArea type="data" outline="0" fieldPosition="0">
        <references count="2">
          <reference field="4294967294" count="1" selected="0">
            <x v="0"/>
          </reference>
          <reference field="2" count="1" selected="0">
            <x v="9"/>
          </reference>
        </references>
      </pivotArea>
    </chartFormat>
    <chartFormat chart="5" format="6">
      <pivotArea type="data" outline="0" fieldPosition="0">
        <references count="2">
          <reference field="4294967294" count="1" selected="0">
            <x v="0"/>
          </reference>
          <reference field="2" count="1" selected="0">
            <x v="8"/>
          </reference>
        </references>
      </pivotArea>
    </chartFormat>
    <chartFormat chart="5" format="7">
      <pivotArea type="data" outline="0" fieldPosition="0">
        <references count="2">
          <reference field="4294967294" count="1" selected="0">
            <x v="0"/>
          </reference>
          <reference field="2" count="1" selected="0">
            <x v="7"/>
          </reference>
        </references>
      </pivotArea>
    </chartFormat>
    <chartFormat chart="5" format="8">
      <pivotArea type="data" outline="0" fieldPosition="0">
        <references count="2">
          <reference field="4294967294" count="1" selected="0">
            <x v="0"/>
          </reference>
          <reference field="2" count="1" selected="0">
            <x v="6"/>
          </reference>
        </references>
      </pivotArea>
    </chartFormat>
    <chartFormat chart="5" format="9">
      <pivotArea type="data" outline="0" fieldPosition="0">
        <references count="2">
          <reference field="4294967294" count="1" selected="0">
            <x v="0"/>
          </reference>
          <reference field="2" count="1" selected="0">
            <x v="5"/>
          </reference>
        </references>
      </pivotArea>
    </chartFormat>
    <chartFormat chart="5" format="10">
      <pivotArea type="data" outline="0" fieldPosition="0">
        <references count="2">
          <reference field="4294967294" count="1" selected="0">
            <x v="0"/>
          </reference>
          <reference field="2" count="1" selected="0">
            <x v="3"/>
          </reference>
        </references>
      </pivotArea>
    </chartFormat>
    <chartFormat chart="5" format="11">
      <pivotArea type="data" outline="0" fieldPosition="0">
        <references count="2">
          <reference field="4294967294" count="1" selected="0">
            <x v="0"/>
          </reference>
          <reference field="2" count="1" selected="0">
            <x v="4"/>
          </reference>
        </references>
      </pivotArea>
    </chartFormat>
    <chartFormat chart="5" format="12">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46B1DE-7BE4-454C-8911-B54B39B3471E}" name="PivotTable16"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G100:H113" firstHeaderRow="1" firstDataRow="1" firstDataCol="1" rowPageCount="1" colPageCount="1"/>
  <pivotFields count="5">
    <pivotField axis="axisPage" showAll="0">
      <items count="4">
        <item x="0"/>
        <item x="1"/>
        <item x="2"/>
        <item t="default"/>
      </items>
    </pivotField>
    <pivotField axis="axisRow" showAll="0">
      <items count="14">
        <item x="0"/>
        <item x="1"/>
        <item x="2"/>
        <item x="3"/>
        <item x="4"/>
        <item x="5"/>
        <item x="6"/>
        <item x="7"/>
        <item x="8"/>
        <item x="9"/>
        <item x="10"/>
        <item x="11"/>
        <item x="12"/>
        <item t="default"/>
      </items>
    </pivotField>
    <pivotField showAll="0"/>
    <pivotField showAll="0"/>
    <pivotField dataField="1" showAll="0"/>
  </pivotFields>
  <rowFields count="1">
    <field x="1"/>
  </rowFields>
  <rowItems count="13">
    <i>
      <x/>
    </i>
    <i>
      <x v="1"/>
    </i>
    <i>
      <x v="2"/>
    </i>
    <i>
      <x v="3"/>
    </i>
    <i>
      <x v="4"/>
    </i>
    <i>
      <x v="5"/>
    </i>
    <i>
      <x v="6"/>
    </i>
    <i>
      <x v="7"/>
    </i>
    <i>
      <x v="8"/>
    </i>
    <i>
      <x v="9"/>
    </i>
    <i>
      <x v="10"/>
    </i>
    <i>
      <x v="11"/>
    </i>
    <i>
      <x v="12"/>
    </i>
  </rowItems>
  <colItems count="1">
    <i/>
  </colItems>
  <pageFields count="1">
    <pageField fld="0" item="0" hier="-1"/>
  </pageFields>
  <dataFields count="1">
    <dataField name="Sum of CPI CHANGE"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15C29A-8494-45DC-AADF-8D030FC19C19}" name="PivotTable1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B59:C71" firstHeaderRow="1" firstDataRow="1" firstDataCol="1" rowPageCount="1" colPageCount="1"/>
  <pivotFields count="20">
    <pivotField axis="axisPage" showAll="0">
      <items count="4">
        <item x="0"/>
        <item x="1"/>
        <item x="2"/>
        <item t="default"/>
      </items>
    </pivotField>
    <pivotField axis="axisRow" numFmtId="164"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12">
    <i>
      <x/>
    </i>
    <i>
      <x v="1"/>
    </i>
    <i>
      <x v="2"/>
    </i>
    <i>
      <x v="3"/>
    </i>
    <i>
      <x v="4"/>
    </i>
    <i>
      <x v="5"/>
    </i>
    <i>
      <x v="6"/>
    </i>
    <i>
      <x v="7"/>
    </i>
    <i>
      <x v="8"/>
    </i>
    <i>
      <x v="9"/>
    </i>
    <i>
      <x v="10"/>
    </i>
    <i>
      <x v="11"/>
    </i>
  </rowItems>
  <colItems count="1">
    <i/>
  </colItems>
  <pageFields count="1">
    <pageField fld="0" item="0" hier="-1"/>
  </pageFields>
  <dataFields count="1">
    <dataField name="Sum of M-o-M CPI Changes" fld="16" baseField="0" baseItem="0" numFmtId="10"/>
  </dataFields>
  <formats count="1">
    <format dxfId="2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3FE40E-40D3-47CC-AEE9-CAD41089065E}" name="PivotTable2"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K87:L90" firstHeaderRow="1" firstDataRow="1" firstDataCol="1" rowPageCount="1" colPageCount="1"/>
  <pivotFields count="6">
    <pivotField axis="axisPage" showAll="0">
      <items count="4">
        <item x="0"/>
        <item x="1"/>
        <item x="2"/>
        <item t="default"/>
      </items>
    </pivotField>
    <pivotField axis="axisRow" showAll="0">
      <items count="4">
        <item x="1"/>
        <item x="0"/>
        <item x="2"/>
        <item t="default"/>
      </items>
    </pivotField>
    <pivotField showAll="0"/>
    <pivotField showAll="0"/>
    <pivotField showAll="0"/>
    <pivotField dataField="1" numFmtId="10" showAll="0"/>
  </pivotFields>
  <rowFields count="1">
    <field x="1"/>
  </rowFields>
  <rowItems count="3">
    <i>
      <x/>
    </i>
    <i>
      <x v="1"/>
    </i>
    <i>
      <x v="2"/>
    </i>
  </rowItems>
  <colItems count="1">
    <i/>
  </colItems>
  <pageFields count="1">
    <pageField fld="0" item="2" hier="-1"/>
  </pageFields>
  <dataFields count="1">
    <dataField name="Average of YoY Inflation" fld="5" subtotal="average" baseField="1" baseItem="1" numFmtId="10"/>
  </dataFields>
  <formats count="1">
    <format dxfId="18">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E3BA5F-CB99-463C-AF70-81C83D0B2DFB}" name="PivotTable1"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C87:D90" firstHeaderRow="1" firstDataRow="1" firstDataCol="1" rowPageCount="1" colPageCount="1"/>
  <pivotFields count="6">
    <pivotField axis="axisPage" showAll="0">
      <items count="4">
        <item x="0"/>
        <item x="1"/>
        <item x="2"/>
        <item t="default"/>
      </items>
    </pivotField>
    <pivotField axis="axisRow" showAll="0">
      <items count="4">
        <item x="1"/>
        <item x="0"/>
        <item x="2"/>
        <item t="default"/>
      </items>
    </pivotField>
    <pivotField showAll="0"/>
    <pivotField showAll="0"/>
    <pivotField showAll="0"/>
    <pivotField dataField="1" numFmtId="10" showAll="0">
      <items count="49">
        <item x="10"/>
        <item x="8"/>
        <item x="24"/>
        <item x="40"/>
        <item x="26"/>
        <item x="35"/>
        <item x="19"/>
        <item x="42"/>
        <item x="3"/>
        <item x="37"/>
        <item x="21"/>
        <item x="45"/>
        <item x="5"/>
        <item x="4"/>
        <item x="29"/>
        <item x="46"/>
        <item x="13"/>
        <item x="30"/>
        <item x="32"/>
        <item x="14"/>
        <item x="16"/>
        <item x="0"/>
        <item x="20"/>
        <item x="7"/>
        <item x="23"/>
        <item x="39"/>
        <item x="44"/>
        <item x="33"/>
        <item x="41"/>
        <item x="25"/>
        <item x="9"/>
        <item x="36"/>
        <item x="17"/>
        <item x="34"/>
        <item x="6"/>
        <item x="1"/>
        <item x="28"/>
        <item x="18"/>
        <item x="2"/>
        <item x="22"/>
        <item x="12"/>
        <item x="38"/>
        <item x="43"/>
        <item x="27"/>
        <item x="11"/>
        <item x="47"/>
        <item x="31"/>
        <item x="15"/>
        <item t="default"/>
      </items>
    </pivotField>
  </pivotFields>
  <rowFields count="1">
    <field x="1"/>
  </rowFields>
  <rowItems count="3">
    <i>
      <x/>
    </i>
    <i>
      <x v="1"/>
    </i>
    <i>
      <x v="2"/>
    </i>
  </rowItems>
  <colItems count="1">
    <i/>
  </colItems>
  <pageFields count="1">
    <pageField fld="0" item="2" hier="-1"/>
  </pageFields>
  <dataFields count="1">
    <dataField name="Average of YoY Inflation" fld="5" subtotal="average" baseField="1" baseItem="0"/>
  </dataFields>
  <formats count="3">
    <format dxfId="21">
      <pivotArea outline="0" fieldPosition="0">
        <references count="1">
          <reference field="4294967294" count="1">
            <x v="0"/>
          </reference>
        </references>
      </pivotArea>
    </format>
    <format dxfId="20">
      <pivotArea grandRow="1" outline="0" collapsedLevelsAreSubtotals="1" fieldPosition="0"/>
    </format>
    <format dxfId="19">
      <pivotArea collapsedLevelsAreSubtotals="1" fieldPosition="0">
        <references count="1">
          <reference field="1"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6134AC-D9C0-489F-A284-BF87D0B0E118}" name="PivotTable2"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fieldListSortAscending="1">
  <location ref="B242:C268" firstHeaderRow="1" firstDataRow="1" firstDataCol="1" rowPageCount="1" colPageCount="1"/>
  <pivotFields count="3">
    <pivotField axis="axisPage" showAll="0">
      <items count="4">
        <item x="0"/>
        <item x="1"/>
        <item x="2"/>
        <item t="default"/>
      </items>
    </pivotField>
    <pivotField axis="axisRow" showAll="0" sortType="descending">
      <items count="27">
        <item x="0"/>
        <item x="14"/>
        <item x="16"/>
        <item x="23"/>
        <item x="2"/>
        <item x="12"/>
        <item x="15"/>
        <item x="5"/>
        <item x="18"/>
        <item x="20"/>
        <item x="19"/>
        <item x="17"/>
        <item x="1"/>
        <item x="3"/>
        <item x="25"/>
        <item x="10"/>
        <item x="4"/>
        <item x="13"/>
        <item x="24"/>
        <item x="11"/>
        <item x="7"/>
        <item x="22"/>
        <item x="9"/>
        <item x="8"/>
        <item x="21"/>
        <item x="6"/>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26">
    <i>
      <x v="12"/>
    </i>
    <i>
      <x v="16"/>
    </i>
    <i>
      <x v="15"/>
    </i>
    <i>
      <x v="8"/>
    </i>
    <i>
      <x v="17"/>
    </i>
    <i>
      <x v="6"/>
    </i>
    <i>
      <x v="24"/>
    </i>
    <i>
      <x v="21"/>
    </i>
    <i>
      <x v="7"/>
    </i>
    <i>
      <x v="11"/>
    </i>
    <i>
      <x v="19"/>
    </i>
    <i>
      <x v="14"/>
    </i>
    <i>
      <x v="2"/>
    </i>
    <i>
      <x v="1"/>
    </i>
    <i>
      <x v="9"/>
    </i>
    <i>
      <x v="5"/>
    </i>
    <i>
      <x v="18"/>
    </i>
    <i>
      <x v="25"/>
    </i>
    <i>
      <x v="10"/>
    </i>
    <i>
      <x v="3"/>
    </i>
    <i>
      <x v="22"/>
    </i>
    <i>
      <x v="4"/>
    </i>
    <i>
      <x v="23"/>
    </i>
    <i>
      <x v="20"/>
    </i>
    <i>
      <x v="13"/>
    </i>
    <i>
      <x/>
    </i>
  </rowItems>
  <colItems count="1">
    <i/>
  </colItems>
  <pageFields count="1">
    <pageField fld="0" item="1" hier="-1"/>
  </pageFields>
  <dataFields count="1">
    <dataField name="Sum of Correlation" fld="2" baseField="0" baseItem="0"/>
  </dataFields>
  <formats count="1">
    <format dxfId="8">
      <pivotArea collapsedLevelsAreSubtotals="1" fieldPosition="0">
        <references count="1">
          <reference field="1" count="0"/>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7"/>
          </reference>
        </references>
      </pivotArea>
    </chartFormat>
    <chartFormat chart="0" format="2">
      <pivotArea type="data" outline="0" fieldPosition="0">
        <references count="2">
          <reference field="4294967294" count="1" selected="0">
            <x v="0"/>
          </reference>
          <reference field="1" count="1" selected="0">
            <x v="21"/>
          </reference>
        </references>
      </pivotArea>
    </chartFormat>
    <chartFormat chart="0" format="3">
      <pivotArea type="data" outline="0" fieldPosition="0">
        <references count="2">
          <reference field="4294967294" count="1" selected="0">
            <x v="0"/>
          </reference>
          <reference field="1" count="1" selected="0">
            <x v="19"/>
          </reference>
        </references>
      </pivotArea>
    </chartFormat>
    <chartFormat chart="0" format="4">
      <pivotArea type="data" outline="0" fieldPosition="0">
        <references count="2">
          <reference field="4294967294" count="1" selected="0">
            <x v="0"/>
          </reference>
          <reference field="1" count="1" selected="0">
            <x v="10"/>
          </reference>
        </references>
      </pivotArea>
    </chartFormat>
    <chartFormat chart="0" format="5">
      <pivotArea type="data" outline="0" fieldPosition="0">
        <references count="2">
          <reference field="4294967294" count="1" selected="0">
            <x v="0"/>
          </reference>
          <reference field="1" count="1" selected="0">
            <x v="2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46D75D25-8778-4DA9-BC12-885F6630F718}" autoFormatId="16" applyNumberFormats="0" applyBorderFormats="0" applyFontFormats="0" applyPatternFormats="0" applyAlignmentFormats="0" applyWidthHeightFormats="0">
  <queryTableRefresh nextId="7">
    <queryTableFields count="6">
      <queryTableField id="1" name="Year" tableColumnId="1"/>
      <queryTableField id="2" name="Month" tableColumnId="2"/>
      <queryTableField id="3" name="Broader categories" tableColumnId="3"/>
      <queryTableField id="4" name="Sub Categories" tableColumnId="4"/>
      <queryTableField id="5" name="Sector" tableColumnId="5"/>
      <queryTableField id="6" name="CPI"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94D634EF-CFFC-464B-860B-F086F31DBFE2}" autoFormatId="16" applyNumberFormats="0" applyBorderFormats="0" applyFontFormats="0" applyPatternFormats="0" applyAlignmentFormats="0" applyWidthHeightFormats="0">
  <queryTableRefresh nextId="6">
    <queryTableFields count="5">
      <queryTableField id="1" name="Sector" tableColumnId="1"/>
      <queryTableField id="2" name="Categories" tableColumnId="2"/>
      <queryTableField id="3" name="01-06-2022" tableColumnId="3"/>
      <queryTableField id="4" name="01-05-2023" tableColumnId="4"/>
      <queryTableField id="5" name="CPI CHANG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BCD044A4-7954-4D38-B97B-77E35788F2FF}" autoFormatId="16" applyNumberFormats="0" applyBorderFormats="0" applyFontFormats="0" applyPatternFormats="0" applyAlignmentFormats="0" applyWidthHeightFormats="0">
  <queryTableRefresh nextId="7">
    <queryTableFields count="6">
      <queryTableField id="1" name="Sector" tableColumnId="1"/>
      <queryTableField id="2" name="Broader Categories" tableColumnId="2"/>
      <queryTableField id="3" name="Sub Categories" tableColumnId="3"/>
      <queryTableField id="4" name="March-2020" tableColumnId="4"/>
      <queryTableField id="5" name="February-2021" tableColumnId="5"/>
      <queryTableField id="6" name="YoY Inflation"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1" xr16:uid="{2C797291-5CF6-4B5C-9DEB-34C3197F906B}" autoFormatId="16" applyNumberFormats="0" applyBorderFormats="0" applyFontFormats="0" applyPatternFormats="0" applyAlignmentFormats="0" applyWidthHeightFormats="0">
  <queryTableRefresh nextId="7">
    <queryTableFields count="6">
      <queryTableField id="1" name="Sector" tableColumnId="1"/>
      <queryTableField id="2" name="Broader Categories" tableColumnId="2"/>
      <queryTableField id="3" name="Sub Categories" tableColumnId="3"/>
      <queryTableField id="4" name="March-2019" tableColumnId="4"/>
      <queryTableField id="5" name="February-2020" tableColumnId="5"/>
      <queryTableField id="6" name="YoY Inflation"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E3D36E99-831F-416B-8A23-D88DBD85A5D1}" sourceName="Sector">
  <pivotTables>
    <pivotTable tabId="9" name="PivotTable4"/>
  </pivotTables>
  <data>
    <tabular pivotCacheId="634723583">
      <items count="3">
        <i x="0"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1" xr10:uid="{81DEB9BB-6242-4FD3-AAE6-FE54E2F0AABF}" sourceName="Sector">
  <pivotTables>
    <pivotTable tabId="14" name="PivotTable11"/>
  </pivotTables>
  <data>
    <tabular pivotCacheId="1938537127">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2" xr10:uid="{719E22E4-7846-4CF3-BEB8-C409A3CAAD37}" sourceName="Sector">
  <pivotTables>
    <pivotTable tabId="14" name="PivotTable16"/>
  </pivotTables>
  <data>
    <tabular pivotCacheId="1381117716">
      <items count="3">
        <i x="0" s="1"/>
        <i x="1"/>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3" xr10:uid="{A9B82384-6640-42DD-A9FE-CDCD6E882713}" sourceName="Sector">
  <pivotTables>
    <pivotTable tabId="5" name="PivotTable1"/>
  </pivotTables>
  <data>
    <tabular pivotCacheId="1209736242">
      <items count="3">
        <i x="0"/>
        <i x="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4" xr10:uid="{F1F89129-F505-4404-A6CC-0EFDAC76F7C5}" sourceName="Sector">
  <pivotTables>
    <pivotTable tabId="5" name="PivotTable2"/>
  </pivotTables>
  <data>
    <tabular pivotCacheId="374260328">
      <items count="3">
        <i x="0"/>
        <i x="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5" xr10:uid="{ECA1DDA2-F1E1-44D2-AAAD-13B725030F4A}" sourceName="Sector">
  <pivotTables>
    <pivotTable tabId="19" name="PivotTable2"/>
  </pivotTables>
  <data>
    <tabular pivotCacheId="1431253056">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533FE1FD-EB3B-4DE7-8E22-556CD232CB7B}" cache="Slicer_Sector" caption="Selected Secto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1" xr10:uid="{96DE14EF-CDE1-42D3-A4CA-345F9D0A93B6}" cache="Slicer_Sector1" caption="M-O-M CPI" rowHeight="257175"/>
  <slicer name="Sector 2" xr10:uid="{7C3A8505-BC11-44CD-AAA7-86DD3A00A10B}" cache="Slicer_Sector2" caption="Selected Sector"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3" xr10:uid="{6BC3A44F-50F2-45EB-B1D4-F3BBB3D5CD31}" cache="Slicer_Sector3" caption="Pre COVID" rowHeight="257175"/>
  <slicer name="Sector 4" xr10:uid="{059A2909-F40B-4BC9-AA22-49043FD81BA5}" cache="Slicer_Sector4" caption="Post COVID"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5" xr10:uid="{4A0718E4-F836-420D-A6D4-D2349433C477}" cache="Slicer_Sector5" caption="Sector"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B1C68DA-81E1-42DD-A126-4B3FC18027BA}" name="Table7" displayName="Table7" ref="A10:G36" totalsRowShown="0" headerRowDxfId="35" tableBorderDxfId="34">
  <autoFilter ref="A10:G36" xr:uid="{0B1C68DA-81E1-42DD-A126-4B3FC18027BA}"/>
  <tableColumns count="7">
    <tableColumn id="1" xr3:uid="{8E1679D5-6BEB-4FA1-9A71-2D2992095202}" name="Year"/>
    <tableColumn id="2" xr3:uid="{8ED8AC6D-9B69-4C37-840F-1447165C7B93}" name="Month"/>
    <tableColumn id="3" xr3:uid="{743B44C4-224C-47D0-A4FE-F37BA6A88AD2}" name="Sub Categories" dataDxfId="33"/>
    <tableColumn id="4" xr3:uid="{9B7AA28A-6B29-46C3-A096-21397C85FAE5}" name="Broader categories" dataDxfId="32"/>
    <tableColumn id="5" xr3:uid="{8FF827E5-5C0F-4DB3-87F1-4916093D0FDD}" name="Rural"/>
    <tableColumn id="6" xr3:uid="{FFD739BB-7305-4938-B364-DCF0E3ECFA0C}" name="Urban"/>
    <tableColumn id="7" xr3:uid="{8A7CC412-8AE8-4F21-87FB-716CDBAD4D08}" name="Rural+Urba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19ECE0E-06BB-454B-A362-5F8F7A81547D}" name="Table7_1" displayName="Table7_1" ref="A41:F119" tableType="queryTable" totalsRowShown="0">
  <autoFilter ref="A41:F119" xr:uid="{519ECE0E-06BB-454B-A362-5F8F7A81547D}"/>
  <tableColumns count="6">
    <tableColumn id="1" xr3:uid="{7BEA96DB-A8B1-4177-B020-4DB5E3E18332}" uniqueName="1" name="Year" queryTableFieldId="1"/>
    <tableColumn id="2" xr3:uid="{AB339D1A-D2E0-4CAB-8782-5FF38ABD68B5}" uniqueName="2" name="Month" queryTableFieldId="2" dataDxfId="31"/>
    <tableColumn id="3" xr3:uid="{7A66DED1-FA04-4695-9018-65624B0ADC7C}" uniqueName="3" name="Broader categories" queryTableFieldId="3" dataDxfId="30"/>
    <tableColumn id="4" xr3:uid="{819319DA-4E2C-488A-A70C-A50A43071EEB}" uniqueName="4" name="Sub Categories" queryTableFieldId="4" dataDxfId="29"/>
    <tableColumn id="5" xr3:uid="{24878F41-2933-4AF6-A9D1-0221C5CB6009}" uniqueName="5" name="Sector" queryTableFieldId="5" dataDxfId="28"/>
    <tableColumn id="6" xr3:uid="{B3A7F1B5-59FC-46E3-9B88-DAB6F74CA561}" uniqueName="6" name="CPI"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9C3571F-8111-4CD0-B279-1930ABF1CC72}" name="Table9_112" displayName="Table9_112" ref="A15:Q51" totalsRowShown="0">
  <autoFilter ref="A15:Q51" xr:uid="{B9C3571F-8111-4CD0-B279-1930ABF1CC72}"/>
  <tableColumns count="17">
    <tableColumn id="1" xr3:uid="{C745E71B-C525-4018-9F66-84E6A4736A0D}" name="Sector" dataDxfId="26"/>
    <tableColumn id="2" xr3:uid="{032201A7-34AC-42AA-99BC-7A4B663EC662}" name="Month" dataDxfId="25"/>
    <tableColumn id="3" xr3:uid="{E28425A4-0786-41F7-B581-41BA646463CD}" name="Cereals and products"/>
    <tableColumn id="4" xr3:uid="{4083DA3A-6C38-4075-ADD9-1B2710C50C69}" name="Meat and fish"/>
    <tableColumn id="5" xr3:uid="{E1F7F2C2-D6E6-457F-B990-1B93285888A2}" name="Egg"/>
    <tableColumn id="6" xr3:uid="{8E4581DA-DB7C-4C4A-8243-7FE9B143B40A}" name="Milk and products"/>
    <tableColumn id="7" xr3:uid="{FEC32A0E-7755-482F-9409-2BF242A1FF88}" name="Oils and fats"/>
    <tableColumn id="8" xr3:uid="{C29463E7-72C0-4F03-950A-989B082E8FFA}" name="Fruits"/>
    <tableColumn id="9" xr3:uid="{1721EC6F-BBCE-4C93-9832-17B382A5BEA1}" name="Vegetables"/>
    <tableColumn id="10" xr3:uid="{6BE2A9C6-CA22-46AA-BA42-845EC1B98219}" name="Pulses and products"/>
    <tableColumn id="11" xr3:uid="{29819D63-D58A-40FB-9AC6-698F6A4E38B5}" name="Sugar and Confectionery"/>
    <tableColumn id="12" xr3:uid="{2CF4FECF-7910-45DA-AEC5-82CFC7EF37FB}" name="Spices"/>
    <tableColumn id="13" xr3:uid="{E587444E-18AC-4861-BF74-4D7C47C123E9}" name="Non-alcoholic beverages"/>
    <tableColumn id="14" xr3:uid="{AA30106A-59AA-44DE-857A-D5F2CADB23B1}" name="Prepared meals, snacks, sweets etc."/>
    <tableColumn id="15" xr3:uid="{DF016ACE-7CCA-417B-8718-9D836B00B962}" name="Food and beverages"/>
    <tableColumn id="16" xr3:uid="{BD187949-4783-4AF0-B42D-044F3C089415}" name="Overall CPI"/>
    <tableColumn id="17" xr3:uid="{D324EAB5-C7E4-4006-B6C4-0B44C2774522}" name="M-o-M CPI Changes" dataDxfId="2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B53E421-25A7-4BCE-AA0B-915DA220688B}" name="Table9_113" displayName="Table9_113" ref="A92:E131" tableType="queryTable" totalsRowShown="0">
  <autoFilter ref="A92:E131" xr:uid="{CB53E421-25A7-4BCE-AA0B-915DA220688B}"/>
  <tableColumns count="5">
    <tableColumn id="1" xr3:uid="{CE2679D4-7883-4BE2-9442-A1ECB1FB1C4E}" uniqueName="1" name="Sector" queryTableFieldId="1" dataDxfId="23"/>
    <tableColumn id="2" xr3:uid="{D277570D-2527-438E-A369-A2C3BA2E5D3E}" uniqueName="2" name="Categories" queryTableFieldId="2" dataDxfId="22"/>
    <tableColumn id="3" xr3:uid="{64C8C00C-66E7-4BD3-A3CC-5E4A80B6B418}" uniqueName="3" name="Jun-22" queryTableFieldId="3"/>
    <tableColumn id="4" xr3:uid="{13EB674E-CF69-4A0B-B922-233A02B0970D}" uniqueName="4" name="May-23" queryTableFieldId="4"/>
    <tableColumn id="5" xr3:uid="{6CF3E2CD-5332-44C7-B2D5-91864C1F73E6}" uniqueName="5" name="CPI CHANGE" queryTableField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8E4DC5-AF9B-40F7-822B-A3D20BF40076}" name="Table1" displayName="Table1" ref="A10:S16" totalsRowShown="0" headerRowDxfId="17">
  <autoFilter ref="A10:S16" xr:uid="{AE8E4DC5-AF9B-40F7-822B-A3D20BF40076}"/>
  <tableColumns count="19">
    <tableColumn id="1" xr3:uid="{00F27CA4-B458-439C-8360-29B12736555F}" name="Sector"/>
    <tableColumn id="2" xr3:uid="{1D2F0668-DC5A-461A-ACFD-B69E9159223E}" name="Year"/>
    <tableColumn id="3" xr3:uid="{C5C1B4DD-B9AB-4988-B9F2-F9B29C618C63}" name="Month"/>
    <tableColumn id="4" xr3:uid="{A4F3FFFC-76D4-4380-B1AA-74A8E656920E}" name="Cereals and products"/>
    <tableColumn id="5" xr3:uid="{4D8D94CC-A06A-4669-80AD-EB23CC920E6B}" name="Meat and fish"/>
    <tableColumn id="6" xr3:uid="{716A003B-1E55-46E6-9D57-E1C14E0C03BD}" name="Egg"/>
    <tableColumn id="7" xr3:uid="{9EDDA84D-A3DC-4914-AB55-B30EDA395521}" name="Milk and products"/>
    <tableColumn id="8" xr3:uid="{D4993E02-B252-4870-A795-6631F017B1F2}" name="Oils and fats"/>
    <tableColumn id="9" xr3:uid="{5297820F-ED79-4795-8FA0-9890ADCFED73}" name="Fruits"/>
    <tableColumn id="10" xr3:uid="{CF616673-CC35-4D72-BFF2-4EEB425F9AFC}" name="Vegetables"/>
    <tableColumn id="11" xr3:uid="{1130B4C1-3267-4318-BB13-8B4CBBFE013B}" name="Pulses and products"/>
    <tableColumn id="12" xr3:uid="{39FB1E8B-556D-4691-974E-81CD94B00FDF}" name="Sugar and Confectionery"/>
    <tableColumn id="13" xr3:uid="{41BF2B8A-8DF5-4F7F-9D72-4850BC7E3713}" name="Spices"/>
    <tableColumn id="14" xr3:uid="{8DC39F48-509F-40D0-9ED9-9773EDFC8DFE}" name="Non-alcoholic beverages"/>
    <tableColumn id="15" xr3:uid="{779363C0-1F46-40E2-A6F7-99C2664466C4}" name="Prepared meals, snacks, sweets etc."/>
    <tableColumn id="16" xr3:uid="{2D369DBA-E531-4782-A534-EF02284B47A0}" name="Food and beverages"/>
    <tableColumn id="17" xr3:uid="{2D6FDDCF-BD91-422F-B16F-C70FE3528A0A}" name="Fuel and light"/>
    <tableColumn id="18" xr3:uid="{88E531CB-AF4E-47F2-BCA8-1FBAA3A0C575}" name="Health"/>
    <tableColumn id="19" xr3:uid="{86FA9A23-1F37-48C6-9B15-D9A00152E37D}" name="Transport and communicatio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5E45878-A388-416D-ACA3-E00544025D41}" name="Table5" displayName="Table5" ref="A23:S29" totalsRowShown="0" headerRowDxfId="16">
  <autoFilter ref="A23:S29" xr:uid="{95E45878-A388-416D-ACA3-E00544025D41}"/>
  <tableColumns count="19">
    <tableColumn id="1" xr3:uid="{124D2C4E-8609-488E-BC9A-60EAE0AB3C14}" name="Sector"/>
    <tableColumn id="2" xr3:uid="{9A5FA52E-4BD2-44AF-8C10-C4EF4BEDCA97}" name="Year"/>
    <tableColumn id="3" xr3:uid="{0D2B16AE-09DC-48AC-92D7-11C175543626}" name="Month"/>
    <tableColumn id="4" xr3:uid="{66CD40AC-F07C-4730-A908-CDABD2081E85}" name="Cereals and products"/>
    <tableColumn id="5" xr3:uid="{E47E1971-C324-46DD-AEA4-D3C22920CECD}" name="Meat and fish"/>
    <tableColumn id="6" xr3:uid="{007CAB05-692E-45E7-AACC-D89D961657B1}" name="Egg"/>
    <tableColumn id="7" xr3:uid="{C1B63B47-7A11-4665-9BD9-65E6393915B9}" name="Milk and products"/>
    <tableColumn id="8" xr3:uid="{97F7874A-3C4E-4EE3-A15F-35A05B239BCE}" name="Oils and fats"/>
    <tableColumn id="9" xr3:uid="{735958B8-DEFE-42DA-8754-F335CE3D49E2}" name="Fruits"/>
    <tableColumn id="10" xr3:uid="{7DA8CDC8-9E3B-45F9-8814-1CCCB9768900}" name="Vegetables"/>
    <tableColumn id="11" xr3:uid="{31CE5872-7875-4F88-8AD4-E149CB190F80}" name="Pulses and products"/>
    <tableColumn id="12" xr3:uid="{C82F4877-3DC2-4721-BDAC-BB90B3B0AA2F}" name="Sugar and Confectionery"/>
    <tableColumn id="13" xr3:uid="{70B38288-D52D-4AEC-8B3A-09C606B47B13}" name="Spices"/>
    <tableColumn id="14" xr3:uid="{1D792D7C-2C13-436A-8E34-63B75FA24957}" name="Non-alcoholic beverages"/>
    <tableColumn id="15" xr3:uid="{C47D1EC7-9967-4568-A2FA-7A96BCE895E0}" name="Prepared meals, snacks, sweets etc."/>
    <tableColumn id="16" xr3:uid="{9DF071F4-A9F5-453B-B7E3-F68A43D18E85}" name="Food and beverages"/>
    <tableColumn id="17" xr3:uid="{D6551BE6-892B-4B51-9A53-5B9026006827}" name="Fuel and light"/>
    <tableColumn id="18" xr3:uid="{11A6E562-8D23-4605-BA05-6086C6C671E5}" name="Health"/>
    <tableColumn id="19" xr3:uid="{AECECC9F-03E6-4E57-A985-F8FCE0E66608}" name="Transport and communicat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2CF774B-2CF1-4F5F-AF7D-3DB314F8908C}" name="Table5_1" displayName="Table5_1" ref="J35:O83" tableType="queryTable" totalsRowShown="0" headerRowDxfId="15">
  <autoFilter ref="J35:O83" xr:uid="{92CF774B-2CF1-4F5F-AF7D-3DB314F8908C}"/>
  <sortState xmlns:xlrd2="http://schemas.microsoft.com/office/spreadsheetml/2017/richdata2" ref="J36:O83">
    <sortCondition ref="J35:J83"/>
  </sortState>
  <tableColumns count="6">
    <tableColumn id="1" xr3:uid="{EFA9C4FE-A31C-4EC8-A9BC-B853FA3F6C1F}" uniqueName="1" name="Sector" queryTableFieldId="1" dataDxfId="14"/>
    <tableColumn id="2" xr3:uid="{A4A3DBCB-92D8-4694-BB3A-F262BD02B946}" uniqueName="2" name="Broader Categories" queryTableFieldId="2"/>
    <tableColumn id="3" xr3:uid="{B0335A17-476D-44B2-B5CD-DB1CAB7EFDEE}" uniqueName="3" name="Sub Categories" queryTableFieldId="3" dataDxfId="13"/>
    <tableColumn id="4" xr3:uid="{C1CA6031-D5AE-417D-9BFE-EED7B2B46B72}" uniqueName="4" name="March-2020" queryTableFieldId="4"/>
    <tableColumn id="5" xr3:uid="{D9EC4294-5E94-46C6-95D1-9CE61E16A50D}" uniqueName="5" name="February-2021" queryTableFieldId="5"/>
    <tableColumn id="6" xr3:uid="{8457CC2B-10B1-4753-9FE9-6B988130A79A}" uniqueName="6" name="YoY Inflation" queryTableFieldId="6" dataDxfId="12" dataCellStyle="Percent"/>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39513B4-9736-45C3-B44F-03EE1CA07534}" name="Table1__2" displayName="Table1__2" ref="B35:G83" tableType="queryTable" totalsRowShown="0">
  <autoFilter ref="B35:G83" xr:uid="{839513B4-9736-45C3-B44F-03EE1CA07534}"/>
  <sortState xmlns:xlrd2="http://schemas.microsoft.com/office/spreadsheetml/2017/richdata2" ref="B36:G83">
    <sortCondition ref="B35:B83"/>
  </sortState>
  <tableColumns count="6">
    <tableColumn id="1" xr3:uid="{90589EFC-670B-46FA-9BE4-E7E49A16A2B8}" uniqueName="1" name="Sector" queryTableFieldId="1" dataDxfId="11"/>
    <tableColumn id="2" xr3:uid="{470915E9-2E7D-4CA6-A729-627ECA034283}" uniqueName="2" name="Broader Categories" queryTableFieldId="2"/>
    <tableColumn id="3" xr3:uid="{FE7461D7-1F3E-45AC-9C86-917385F2ADE0}" uniqueName="3" name="Sub Categories" queryTableFieldId="3" dataDxfId="10"/>
    <tableColumn id="4" xr3:uid="{D819AD3D-5AA7-43C7-A946-561E210B1927}" uniqueName="4" name="March-2019" queryTableFieldId="4"/>
    <tableColumn id="5" xr3:uid="{7C1D1BDE-9975-4CEC-9A93-6C14F69350C8}" uniqueName="5" name="February-2020" queryTableFieldId="5"/>
    <tableColumn id="6" xr3:uid="{FE354916-7201-4B8F-99C6-E3AC96C012E1}" uniqueName="6" name="YoY Inflation" queryTableFieldId="6" dataDxfId="9" dataCellStyle="Percent"/>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7DD5895-FAA5-4E46-A992-A04772D01FE6}" name="Table415" displayName="Table415" ref="B197:D226" totalsRowShown="0" dataDxfId="6" headerRowBorderDxfId="7" tableBorderDxfId="5" totalsRowBorderDxfId="4">
  <autoFilter ref="B197:D226" xr:uid="{D7DD5895-FAA5-4E46-A992-A04772D01FE6}"/>
  <tableColumns count="3">
    <tableColumn id="1" xr3:uid="{C92E2A6E-AE95-4BDB-A965-7E1B46907925}" name="Date" dataDxfId="3"/>
    <tableColumn id="2" xr3:uid="{2BEA6859-BC9B-446E-87C7-D8343E8726C7}" name="Price" dataDxfId="2"/>
    <tableColumn id="3" xr3:uid="{893ED90A-E466-4E5F-9B47-B8E528A694A0}" name="Crude INF" dataDxfId="1"/>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CBAF316-9F63-43B3-A0F7-16437BFD395B}" name="Table15" displayName="Table15" ref="A235:AA238" totalsRowShown="0" headerRowDxfId="0">
  <autoFilter ref="A235:AA238" xr:uid="{3CBAF316-9F63-43B3-A0F7-16437BFD395B}"/>
  <tableColumns count="27">
    <tableColumn id="1" xr3:uid="{5C22D4C5-91FF-4108-8201-84B6011097AB}" name="Sector"/>
    <tableColumn id="2" xr3:uid="{3560256E-A2B2-4AC1-9CA7-FF4485210919}" name="Cereals and products"/>
    <tableColumn id="3" xr3:uid="{0A44D919-701D-4094-8331-1196A2FCEA3F}" name="Meat and fish"/>
    <tableColumn id="4" xr3:uid="{58BDB0BF-3AD6-44F6-82E3-298CE4DC1336}" name="Egg"/>
    <tableColumn id="5" xr3:uid="{C7C853CB-2749-4D98-A057-A42A8D6E815D}" name="Milk and products"/>
    <tableColumn id="6" xr3:uid="{AE74ED2B-EF4B-42A7-8383-80A5A1F0D7D1}" name="Oils and fats"/>
    <tableColumn id="7" xr3:uid="{19E1A62A-5840-468B-B1CF-9B132047934D}" name="Fruits"/>
    <tableColumn id="8" xr3:uid="{F4FA8733-F262-41AE-AE40-9E37C3280CA2}" name="Vegetables"/>
    <tableColumn id="9" xr3:uid="{2FC3F6A2-9DBE-47F8-8F57-35471D60BECE}" name="Pulses and products"/>
    <tableColumn id="10" xr3:uid="{1A839BCB-A3CD-46F2-AF80-475A9000FE5D}" name="Sugar and Confectionery"/>
    <tableColumn id="11" xr3:uid="{E9623633-D1CC-4F0B-848B-51C93F8354F9}" name="Spices"/>
    <tableColumn id="12" xr3:uid="{96782D95-AB16-4544-A50A-9B41EB2CD1B5}" name="Non-alcoholic beverages"/>
    <tableColumn id="13" xr3:uid="{AB07F2CE-4CFD-4654-BEB8-703FA6D3D4FF}" name="Prepared meals, snacks, sweets etc."/>
    <tableColumn id="14" xr3:uid="{7F6639BC-9B23-4ACB-B21A-9C885EA2AB53}" name="Food and beverages"/>
    <tableColumn id="15" xr3:uid="{DCB02912-0227-4532-811F-152D6170BD1F}" name="Pan, tobacco and intoxicants"/>
    <tableColumn id="16" xr3:uid="{96AF2FB2-0AEE-4C66-A99D-BED9F5C3A9B7}" name="Clothing"/>
    <tableColumn id="17" xr3:uid="{0A65EAC1-EE54-4DC1-A2D3-3DEB3A5BF7D6}" name="Footwear"/>
    <tableColumn id="18" xr3:uid="{8E27B32B-FE93-4CEF-BA83-875B34B14CCE}" name="Clothing and footwear"/>
    <tableColumn id="19" xr3:uid="{8BA87920-D5A1-441B-B91B-CAB1346F0918}" name="Housing"/>
    <tableColumn id="20" xr3:uid="{A6C1CBDE-E970-449D-A2D2-9CB24EFB2E2D}" name="Fuel and light"/>
    <tableColumn id="21" xr3:uid="{47306B0D-2814-4D97-863A-3863472CEE91}" name="Household goods and services"/>
    <tableColumn id="22" xr3:uid="{9CF43FA0-2137-4906-A65B-6E7312CF301E}" name="Health"/>
    <tableColumn id="23" xr3:uid="{ADFEF9EE-BD4E-4DEB-B261-EF5D37F2A1D6}" name="Transport and communication"/>
    <tableColumn id="24" xr3:uid="{ECAB8D58-978F-4575-A883-48AECBBC8297}" name="Recreation and amusement"/>
    <tableColumn id="25" xr3:uid="{8F3CED0E-AC17-4ADA-A704-21D240D69F14}" name="Education"/>
    <tableColumn id="26" xr3:uid="{4E375169-546B-4A74-ACDE-D940EAD7246A}" name="Personal care and effects"/>
    <tableColumn id="27" xr3:uid="{B056B2BC-5F54-4690-986B-4E61681F3EDB}" name="Miscellaneo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2.xml"/><Relationship Id="rId5" Type="http://schemas.openxmlformats.org/officeDocument/2006/relationships/table" Target="../tables/table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microsoft.com/office/2007/relationships/slicer" Target="../slicers/slicer3.xml"/><Relationship Id="rId3" Type="http://schemas.openxmlformats.org/officeDocument/2006/relationships/drawing" Target="../drawings/drawing4.xml"/><Relationship Id="rId7" Type="http://schemas.openxmlformats.org/officeDocument/2006/relationships/table" Target="../tables/table8.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5.xml"/><Relationship Id="rId1" Type="http://schemas.openxmlformats.org/officeDocument/2006/relationships/pivotTable" Target="../pivotTables/pivotTable6.xml"/><Relationship Id="rId5" Type="http://schemas.microsoft.com/office/2007/relationships/slicer" Target="../slicers/slicer4.xml"/><Relationship Id="rId4"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1AB64-CE3C-46D2-80B5-44C053A11119}">
  <dimension ref="A1:AD373"/>
  <sheetViews>
    <sheetView workbookViewId="0">
      <selection activeCell="A95" sqref="A95:AC96"/>
    </sheetView>
  </sheetViews>
  <sheetFormatPr defaultRowHeight="15" x14ac:dyDescent="0.25"/>
  <cols>
    <col min="1" max="1" width="12.140625" bestFit="1" customWidth="1"/>
    <col min="2" max="2" width="7.7109375" customWidth="1"/>
    <col min="3" max="3" width="11.42578125" bestFit="1" customWidth="1"/>
    <col min="4" max="4" width="31.140625" bestFit="1" customWidth="1"/>
    <col min="5" max="5" width="20.85546875" bestFit="1" customWidth="1"/>
    <col min="6" max="6" width="8.42578125" bestFit="1" customWidth="1"/>
    <col min="7" max="7" width="26.5703125" bestFit="1" customWidth="1"/>
    <col min="8" max="8" width="19.42578125" bestFit="1" customWidth="1"/>
    <col min="9" max="9" width="10.85546875" bestFit="1" customWidth="1"/>
    <col min="10" max="10" width="18" bestFit="1" customWidth="1"/>
    <col min="11" max="11" width="30" bestFit="1" customWidth="1"/>
    <col min="12" max="12" width="35.5703125" bestFit="1" customWidth="1"/>
    <col min="13" max="13" width="12.140625" bestFit="1" customWidth="1"/>
    <col min="14" max="14" width="35.5703125" bestFit="1" customWidth="1"/>
    <col min="15" max="15" width="51.42578125" bestFit="1" customWidth="1"/>
    <col min="16" max="16" width="29.85546875" bestFit="1" customWidth="1"/>
    <col min="17" max="17" width="41.7109375" bestFit="1" customWidth="1"/>
    <col min="18" max="18" width="14" bestFit="1" customWidth="1"/>
    <col min="19" max="19" width="15.7109375" bestFit="1" customWidth="1"/>
    <col min="20" max="20" width="32" bestFit="1" customWidth="1"/>
    <col min="21" max="21" width="13.85546875" bestFit="1" customWidth="1"/>
    <col min="22" max="22" width="21" bestFit="1" customWidth="1"/>
    <col min="23" max="23" width="43.28515625" bestFit="1" customWidth="1"/>
    <col min="24" max="24" width="11.85546875" bestFit="1" customWidth="1"/>
    <col min="25" max="25" width="42.7109375" bestFit="1" customWidth="1"/>
    <col min="26" max="26" width="39.28515625" bestFit="1" customWidth="1"/>
    <col min="27" max="27" width="16.5703125" bestFit="1" customWidth="1"/>
    <col min="28" max="28" width="37" bestFit="1" customWidth="1"/>
    <col min="29" max="29" width="22" bestFit="1" customWidth="1"/>
    <col min="30" max="30" width="19.140625" bestFit="1" customWidth="1"/>
  </cols>
  <sheetData>
    <row r="1" spans="1:30" s="1" customFormat="1" ht="19.5"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t="s">
        <v>30</v>
      </c>
      <c r="B2">
        <v>2020</v>
      </c>
      <c r="C2" t="s">
        <v>31</v>
      </c>
      <c r="D2">
        <v>143.69999999999999</v>
      </c>
      <c r="E2">
        <v>167.3</v>
      </c>
      <c r="F2">
        <v>153.5</v>
      </c>
      <c r="G2">
        <v>150.5</v>
      </c>
      <c r="H2">
        <v>132</v>
      </c>
      <c r="I2">
        <v>142.19999999999999</v>
      </c>
      <c r="J2">
        <v>191.5</v>
      </c>
      <c r="K2">
        <v>141.1</v>
      </c>
      <c r="L2">
        <v>113.8</v>
      </c>
      <c r="M2">
        <v>151.6</v>
      </c>
      <c r="N2">
        <v>139.69999999999999</v>
      </c>
      <c r="O2">
        <v>158.69999999999999</v>
      </c>
      <c r="P2">
        <v>153</v>
      </c>
      <c r="Q2">
        <v>168.6</v>
      </c>
      <c r="R2">
        <v>152.80000000000001</v>
      </c>
      <c r="S2">
        <v>147.4</v>
      </c>
      <c r="T2">
        <v>152.1</v>
      </c>
      <c r="U2" t="s">
        <v>32</v>
      </c>
      <c r="V2">
        <v>150.4</v>
      </c>
      <c r="W2">
        <v>151.69999999999999</v>
      </c>
      <c r="X2">
        <v>155.69999999999999</v>
      </c>
      <c r="Y2">
        <v>136.30000000000001</v>
      </c>
      <c r="Z2">
        <v>150.1</v>
      </c>
      <c r="AA2">
        <v>161.69999999999999</v>
      </c>
      <c r="AB2">
        <v>142.5</v>
      </c>
      <c r="AC2">
        <v>148.1</v>
      </c>
      <c r="AD2">
        <v>151.9</v>
      </c>
    </row>
    <row r="3" spans="1:30" x14ac:dyDescent="0.25">
      <c r="A3" t="s">
        <v>30</v>
      </c>
      <c r="B3">
        <v>2020</v>
      </c>
      <c r="C3" t="s">
        <v>35</v>
      </c>
      <c r="D3">
        <v>144.19999999999999</v>
      </c>
      <c r="E3">
        <v>167.5</v>
      </c>
      <c r="F3">
        <v>150.9</v>
      </c>
      <c r="G3">
        <v>150.9</v>
      </c>
      <c r="H3">
        <v>133.69999999999999</v>
      </c>
      <c r="I3">
        <v>140.69999999999999</v>
      </c>
      <c r="J3">
        <v>165.1</v>
      </c>
      <c r="K3">
        <v>141.80000000000001</v>
      </c>
      <c r="L3">
        <v>113.1</v>
      </c>
      <c r="M3">
        <v>152.80000000000001</v>
      </c>
      <c r="N3">
        <v>140.1</v>
      </c>
      <c r="O3">
        <v>159.19999999999999</v>
      </c>
      <c r="P3">
        <v>149.80000000000001</v>
      </c>
      <c r="Q3">
        <v>169.4</v>
      </c>
      <c r="R3">
        <v>153</v>
      </c>
      <c r="S3">
        <v>147.5</v>
      </c>
      <c r="T3">
        <v>152.30000000000001</v>
      </c>
      <c r="U3" t="s">
        <v>32</v>
      </c>
      <c r="V3">
        <v>152.30000000000001</v>
      </c>
      <c r="W3">
        <v>151.80000000000001</v>
      </c>
      <c r="X3">
        <v>156.19999999999999</v>
      </c>
      <c r="Y3">
        <v>136</v>
      </c>
      <c r="Z3">
        <v>150.4</v>
      </c>
      <c r="AA3">
        <v>161.9</v>
      </c>
      <c r="AB3">
        <v>143.4</v>
      </c>
      <c r="AC3">
        <v>148.4</v>
      </c>
      <c r="AD3">
        <v>150.4</v>
      </c>
    </row>
    <row r="4" spans="1:30" x14ac:dyDescent="0.25">
      <c r="A4" t="s">
        <v>30</v>
      </c>
      <c r="B4">
        <v>2020</v>
      </c>
      <c r="C4" t="s">
        <v>36</v>
      </c>
      <c r="D4">
        <v>144.4</v>
      </c>
      <c r="E4">
        <v>166.8</v>
      </c>
      <c r="F4">
        <v>147.6</v>
      </c>
      <c r="G4">
        <v>151.69999999999999</v>
      </c>
      <c r="H4">
        <v>133.30000000000001</v>
      </c>
      <c r="I4">
        <v>141.80000000000001</v>
      </c>
      <c r="J4">
        <v>152.30000000000001</v>
      </c>
      <c r="K4">
        <v>141.80000000000001</v>
      </c>
      <c r="L4">
        <v>112.6</v>
      </c>
      <c r="M4">
        <v>154</v>
      </c>
      <c r="N4">
        <v>140.1</v>
      </c>
      <c r="O4">
        <v>160</v>
      </c>
      <c r="P4">
        <v>148.19999999999999</v>
      </c>
      <c r="Q4">
        <v>170.5</v>
      </c>
      <c r="R4">
        <v>153.4</v>
      </c>
      <c r="S4">
        <v>147.6</v>
      </c>
      <c r="T4">
        <v>152.5</v>
      </c>
      <c r="U4" t="s">
        <v>32</v>
      </c>
      <c r="V4">
        <v>153.4</v>
      </c>
      <c r="W4">
        <v>151.5</v>
      </c>
      <c r="X4">
        <v>156.69999999999999</v>
      </c>
      <c r="Y4">
        <v>135.80000000000001</v>
      </c>
      <c r="Z4">
        <v>151.19999999999999</v>
      </c>
      <c r="AA4">
        <v>161.19999999999999</v>
      </c>
      <c r="AB4">
        <v>145.1</v>
      </c>
      <c r="AC4">
        <v>148.6</v>
      </c>
      <c r="AD4">
        <v>149.80000000000001</v>
      </c>
    </row>
    <row r="5" spans="1:30" x14ac:dyDescent="0.25">
      <c r="A5" t="s">
        <v>30</v>
      </c>
      <c r="B5">
        <v>2020</v>
      </c>
      <c r="C5" t="s">
        <v>37</v>
      </c>
      <c r="D5">
        <v>147.19999999999999</v>
      </c>
      <c r="E5" t="s">
        <v>32</v>
      </c>
      <c r="F5">
        <v>146.9</v>
      </c>
      <c r="G5">
        <v>155.6</v>
      </c>
      <c r="H5">
        <v>137.1</v>
      </c>
      <c r="I5">
        <v>147.30000000000001</v>
      </c>
      <c r="J5">
        <v>162.69999999999999</v>
      </c>
      <c r="K5">
        <v>150.19999999999999</v>
      </c>
      <c r="L5">
        <v>119.8</v>
      </c>
      <c r="M5">
        <v>158.69999999999999</v>
      </c>
      <c r="N5">
        <v>139.19999999999999</v>
      </c>
      <c r="O5" t="s">
        <v>32</v>
      </c>
      <c r="P5">
        <v>150.1</v>
      </c>
      <c r="Q5" t="s">
        <v>32</v>
      </c>
      <c r="R5" t="s">
        <v>32</v>
      </c>
      <c r="S5" t="s">
        <v>32</v>
      </c>
      <c r="T5" t="s">
        <v>32</v>
      </c>
      <c r="U5" t="s">
        <v>32</v>
      </c>
      <c r="V5">
        <v>148.4</v>
      </c>
      <c r="W5" t="s">
        <v>32</v>
      </c>
      <c r="X5">
        <v>154.30000000000001</v>
      </c>
      <c r="Y5" t="s">
        <v>32</v>
      </c>
      <c r="Z5" t="s">
        <v>32</v>
      </c>
      <c r="AA5" t="s">
        <v>32</v>
      </c>
      <c r="AB5" t="s">
        <v>32</v>
      </c>
      <c r="AC5" t="s">
        <v>32</v>
      </c>
      <c r="AD5" t="s">
        <v>32</v>
      </c>
    </row>
    <row r="6" spans="1:30" x14ac:dyDescent="0.25">
      <c r="A6" t="s">
        <v>30</v>
      </c>
      <c r="B6">
        <v>2020</v>
      </c>
      <c r="C6" t="s">
        <v>38</v>
      </c>
      <c r="D6" t="s">
        <v>32</v>
      </c>
      <c r="E6" t="s">
        <v>32</v>
      </c>
      <c r="F6" t="s">
        <v>32</v>
      </c>
      <c r="G6" t="s">
        <v>32</v>
      </c>
      <c r="H6" t="s">
        <v>32</v>
      </c>
      <c r="I6" t="s">
        <v>32</v>
      </c>
      <c r="J6" t="s">
        <v>32</v>
      </c>
      <c r="K6" t="s">
        <v>32</v>
      </c>
      <c r="L6" t="s">
        <v>32</v>
      </c>
      <c r="M6" t="s">
        <v>32</v>
      </c>
      <c r="N6" t="s">
        <v>32</v>
      </c>
      <c r="O6" t="s">
        <v>32</v>
      </c>
      <c r="P6" t="s">
        <v>32</v>
      </c>
      <c r="Q6" t="s">
        <v>32</v>
      </c>
      <c r="R6" t="s">
        <v>32</v>
      </c>
      <c r="S6" t="s">
        <v>32</v>
      </c>
      <c r="T6" t="s">
        <v>32</v>
      </c>
      <c r="U6" t="s">
        <v>32</v>
      </c>
      <c r="V6" t="s">
        <v>32</v>
      </c>
      <c r="W6" t="s">
        <v>32</v>
      </c>
      <c r="X6" t="s">
        <v>32</v>
      </c>
      <c r="Y6" t="s">
        <v>32</v>
      </c>
      <c r="Z6" t="s">
        <v>32</v>
      </c>
      <c r="AA6" t="s">
        <v>32</v>
      </c>
      <c r="AB6" t="s">
        <v>32</v>
      </c>
      <c r="AC6" t="s">
        <v>32</v>
      </c>
      <c r="AD6" t="s">
        <v>32</v>
      </c>
    </row>
    <row r="7" spans="1:30" x14ac:dyDescent="0.25">
      <c r="A7" t="s">
        <v>30</v>
      </c>
      <c r="B7">
        <v>2020</v>
      </c>
      <c r="C7" t="s">
        <v>39</v>
      </c>
      <c r="D7">
        <v>148.19999999999999</v>
      </c>
      <c r="E7">
        <v>190.3</v>
      </c>
      <c r="F7">
        <v>149.4</v>
      </c>
      <c r="G7">
        <v>153.30000000000001</v>
      </c>
      <c r="H7">
        <v>138.19999999999999</v>
      </c>
      <c r="I7">
        <v>143.19999999999999</v>
      </c>
      <c r="J7">
        <v>148.9</v>
      </c>
      <c r="K7">
        <v>150.30000000000001</v>
      </c>
      <c r="L7">
        <v>113.2</v>
      </c>
      <c r="M7">
        <v>159.80000000000001</v>
      </c>
      <c r="N7">
        <v>142.1</v>
      </c>
      <c r="O7">
        <v>161.80000000000001</v>
      </c>
      <c r="P7">
        <v>152.30000000000001</v>
      </c>
      <c r="Q7">
        <v>182.4</v>
      </c>
      <c r="R7">
        <v>154.69999999999999</v>
      </c>
      <c r="S7">
        <v>150</v>
      </c>
      <c r="T7">
        <v>154.1</v>
      </c>
      <c r="U7" t="s">
        <v>32</v>
      </c>
      <c r="V7">
        <v>144.9</v>
      </c>
      <c r="W7">
        <v>151.69999999999999</v>
      </c>
      <c r="X7">
        <v>158.19999999999999</v>
      </c>
      <c r="Y7">
        <v>141.4</v>
      </c>
      <c r="Z7">
        <v>153.19999999999999</v>
      </c>
      <c r="AA7">
        <v>161.80000000000001</v>
      </c>
      <c r="AB7">
        <v>151.19999999999999</v>
      </c>
      <c r="AC7">
        <v>151.69999999999999</v>
      </c>
      <c r="AD7">
        <v>152.69999999999999</v>
      </c>
    </row>
    <row r="8" spans="1:30" x14ac:dyDescent="0.25">
      <c r="A8" t="s">
        <v>30</v>
      </c>
      <c r="B8">
        <v>2020</v>
      </c>
      <c r="C8" t="s">
        <v>40</v>
      </c>
      <c r="D8">
        <v>148.19999999999999</v>
      </c>
      <c r="E8">
        <v>190.3</v>
      </c>
      <c r="F8">
        <v>149.4</v>
      </c>
      <c r="G8">
        <v>153.30000000000001</v>
      </c>
      <c r="H8">
        <v>138.19999999999999</v>
      </c>
      <c r="I8">
        <v>143.19999999999999</v>
      </c>
      <c r="J8">
        <v>148.9</v>
      </c>
      <c r="K8">
        <v>150.30000000000001</v>
      </c>
      <c r="L8">
        <v>113.2</v>
      </c>
      <c r="M8">
        <v>159.80000000000001</v>
      </c>
      <c r="N8">
        <v>142.1</v>
      </c>
      <c r="O8">
        <v>161.80000000000001</v>
      </c>
      <c r="P8">
        <v>152.30000000000001</v>
      </c>
      <c r="Q8">
        <v>182.4</v>
      </c>
      <c r="R8">
        <v>154.69999999999999</v>
      </c>
      <c r="S8">
        <v>150</v>
      </c>
      <c r="T8">
        <v>154.1</v>
      </c>
      <c r="U8" t="s">
        <v>32</v>
      </c>
      <c r="V8">
        <v>144.9</v>
      </c>
      <c r="W8">
        <v>151.69999999999999</v>
      </c>
      <c r="X8">
        <v>158.19999999999999</v>
      </c>
      <c r="Y8">
        <v>141.4</v>
      </c>
      <c r="Z8">
        <v>153.19999999999999</v>
      </c>
      <c r="AA8">
        <v>161.80000000000001</v>
      </c>
      <c r="AB8">
        <v>151.19999999999999</v>
      </c>
      <c r="AC8">
        <v>151.69999999999999</v>
      </c>
      <c r="AD8">
        <v>152.69999999999999</v>
      </c>
    </row>
    <row r="9" spans="1:30" x14ac:dyDescent="0.25">
      <c r="A9" t="s">
        <v>30</v>
      </c>
      <c r="B9">
        <v>2020</v>
      </c>
      <c r="C9" t="s">
        <v>41</v>
      </c>
      <c r="D9">
        <v>147.6</v>
      </c>
      <c r="E9">
        <v>187.2</v>
      </c>
      <c r="F9">
        <v>148.4</v>
      </c>
      <c r="G9">
        <v>153.30000000000001</v>
      </c>
      <c r="H9">
        <v>139.80000000000001</v>
      </c>
      <c r="I9">
        <v>146.9</v>
      </c>
      <c r="J9">
        <v>171</v>
      </c>
      <c r="K9">
        <v>149.9</v>
      </c>
      <c r="L9">
        <v>114.2</v>
      </c>
      <c r="M9">
        <v>160</v>
      </c>
      <c r="N9">
        <v>143.5</v>
      </c>
      <c r="O9">
        <v>161.5</v>
      </c>
      <c r="P9">
        <v>155.30000000000001</v>
      </c>
      <c r="Q9">
        <v>180.9</v>
      </c>
      <c r="R9">
        <v>155.1</v>
      </c>
      <c r="S9">
        <v>149.30000000000001</v>
      </c>
      <c r="T9">
        <v>154.30000000000001</v>
      </c>
      <c r="U9" t="s">
        <v>32</v>
      </c>
      <c r="V9">
        <v>145.80000000000001</v>
      </c>
      <c r="W9">
        <v>151.9</v>
      </c>
      <c r="X9">
        <v>158.80000000000001</v>
      </c>
      <c r="Y9">
        <v>143.6</v>
      </c>
      <c r="Z9">
        <v>152.19999999999999</v>
      </c>
      <c r="AA9">
        <v>162.69999999999999</v>
      </c>
      <c r="AB9">
        <v>153.6</v>
      </c>
      <c r="AC9">
        <v>153</v>
      </c>
      <c r="AD9">
        <v>154.69999999999999</v>
      </c>
    </row>
    <row r="10" spans="1:30" x14ac:dyDescent="0.25">
      <c r="A10" t="s">
        <v>30</v>
      </c>
      <c r="B10">
        <v>2020</v>
      </c>
      <c r="C10" t="s">
        <v>42</v>
      </c>
      <c r="D10">
        <v>146.9</v>
      </c>
      <c r="E10">
        <v>183.9</v>
      </c>
      <c r="F10">
        <v>149.5</v>
      </c>
      <c r="G10">
        <v>153.4</v>
      </c>
      <c r="H10">
        <v>140.4</v>
      </c>
      <c r="I10">
        <v>147</v>
      </c>
      <c r="J10">
        <v>178.8</v>
      </c>
      <c r="K10">
        <v>149.30000000000001</v>
      </c>
      <c r="L10">
        <v>115.1</v>
      </c>
      <c r="M10">
        <v>160</v>
      </c>
      <c r="N10">
        <v>145.4</v>
      </c>
      <c r="O10">
        <v>161.6</v>
      </c>
      <c r="P10">
        <v>156.1</v>
      </c>
      <c r="Q10">
        <v>182.9</v>
      </c>
      <c r="R10">
        <v>155.4</v>
      </c>
      <c r="S10">
        <v>149.9</v>
      </c>
      <c r="T10">
        <v>154.6</v>
      </c>
      <c r="U10" t="s">
        <v>32</v>
      </c>
      <c r="V10">
        <v>146.4</v>
      </c>
      <c r="W10">
        <v>151.6</v>
      </c>
      <c r="X10">
        <v>159.1</v>
      </c>
      <c r="Y10">
        <v>144.6</v>
      </c>
      <c r="Z10">
        <v>152.80000000000001</v>
      </c>
      <c r="AA10">
        <v>161.1</v>
      </c>
      <c r="AB10">
        <v>157.4</v>
      </c>
      <c r="AC10">
        <v>153.69999999999999</v>
      </c>
      <c r="AD10">
        <v>155.4</v>
      </c>
    </row>
    <row r="11" spans="1:30" x14ac:dyDescent="0.25">
      <c r="A11" t="s">
        <v>30</v>
      </c>
      <c r="B11">
        <v>2020</v>
      </c>
      <c r="C11" t="s">
        <v>43</v>
      </c>
      <c r="D11">
        <v>146</v>
      </c>
      <c r="E11">
        <v>186.3</v>
      </c>
      <c r="F11">
        <v>159.19999999999999</v>
      </c>
      <c r="G11">
        <v>153.6</v>
      </c>
      <c r="H11">
        <v>142.6</v>
      </c>
      <c r="I11">
        <v>147.19999999999999</v>
      </c>
      <c r="J11">
        <v>200.6</v>
      </c>
      <c r="K11">
        <v>150.30000000000001</v>
      </c>
      <c r="L11">
        <v>115.3</v>
      </c>
      <c r="M11">
        <v>160.9</v>
      </c>
      <c r="N11">
        <v>147.4</v>
      </c>
      <c r="O11">
        <v>161.9</v>
      </c>
      <c r="P11">
        <v>159.6</v>
      </c>
      <c r="Q11">
        <v>182.7</v>
      </c>
      <c r="R11">
        <v>155.69999999999999</v>
      </c>
      <c r="S11">
        <v>150.6</v>
      </c>
      <c r="T11">
        <v>155</v>
      </c>
      <c r="U11" t="s">
        <v>32</v>
      </c>
      <c r="V11">
        <v>146.80000000000001</v>
      </c>
      <c r="W11">
        <v>152</v>
      </c>
      <c r="X11">
        <v>159.5</v>
      </c>
      <c r="Y11">
        <v>146.4</v>
      </c>
      <c r="Z11">
        <v>152.4</v>
      </c>
      <c r="AA11">
        <v>162.5</v>
      </c>
      <c r="AB11">
        <v>156.19999999999999</v>
      </c>
      <c r="AC11">
        <v>154.30000000000001</v>
      </c>
      <c r="AD11">
        <v>157.5</v>
      </c>
    </row>
    <row r="12" spans="1:30" x14ac:dyDescent="0.25">
      <c r="A12" t="s">
        <v>30</v>
      </c>
      <c r="B12">
        <v>2020</v>
      </c>
      <c r="C12" t="s">
        <v>45</v>
      </c>
      <c r="D12">
        <v>145.4</v>
      </c>
      <c r="E12">
        <v>188.6</v>
      </c>
      <c r="F12">
        <v>171.6</v>
      </c>
      <c r="G12">
        <v>153.80000000000001</v>
      </c>
      <c r="H12">
        <v>145.4</v>
      </c>
      <c r="I12">
        <v>146.5</v>
      </c>
      <c r="J12">
        <v>222.2</v>
      </c>
      <c r="K12">
        <v>155.9</v>
      </c>
      <c r="L12">
        <v>114.9</v>
      </c>
      <c r="M12">
        <v>162</v>
      </c>
      <c r="N12">
        <v>150</v>
      </c>
      <c r="O12">
        <v>162.69999999999999</v>
      </c>
      <c r="P12">
        <v>163.4</v>
      </c>
      <c r="Q12">
        <v>183.4</v>
      </c>
      <c r="R12">
        <v>156.30000000000001</v>
      </c>
      <c r="S12">
        <v>151</v>
      </c>
      <c r="T12">
        <v>155.5</v>
      </c>
      <c r="U12" t="s">
        <v>32</v>
      </c>
      <c r="V12">
        <v>147.5</v>
      </c>
      <c r="W12">
        <v>152.80000000000001</v>
      </c>
      <c r="X12">
        <v>160.4</v>
      </c>
      <c r="Y12">
        <v>146.1</v>
      </c>
      <c r="Z12">
        <v>153.6</v>
      </c>
      <c r="AA12">
        <v>161.6</v>
      </c>
      <c r="AB12">
        <v>156.19999999999999</v>
      </c>
      <c r="AC12">
        <v>154.5</v>
      </c>
      <c r="AD12">
        <v>159.80000000000001</v>
      </c>
    </row>
    <row r="13" spans="1:30" x14ac:dyDescent="0.25">
      <c r="A13" t="s">
        <v>30</v>
      </c>
      <c r="B13">
        <v>2020</v>
      </c>
      <c r="C13" t="s">
        <v>46</v>
      </c>
      <c r="D13">
        <v>144.6</v>
      </c>
      <c r="E13">
        <v>188.5</v>
      </c>
      <c r="F13">
        <v>173.4</v>
      </c>
      <c r="G13">
        <v>154</v>
      </c>
      <c r="H13">
        <v>150</v>
      </c>
      <c r="I13">
        <v>145.9</v>
      </c>
      <c r="J13">
        <v>225.2</v>
      </c>
      <c r="K13">
        <v>159.5</v>
      </c>
      <c r="L13">
        <v>114.4</v>
      </c>
      <c r="M13">
        <v>163.5</v>
      </c>
      <c r="N13">
        <v>153.4</v>
      </c>
      <c r="O13">
        <v>163.6</v>
      </c>
      <c r="P13">
        <v>164.5</v>
      </c>
      <c r="Q13">
        <v>183.6</v>
      </c>
      <c r="R13">
        <v>157</v>
      </c>
      <c r="S13">
        <v>151.6</v>
      </c>
      <c r="T13">
        <v>156.30000000000001</v>
      </c>
      <c r="U13" t="s">
        <v>32</v>
      </c>
      <c r="V13">
        <v>148.69999999999999</v>
      </c>
      <c r="W13">
        <v>153.4</v>
      </c>
      <c r="X13">
        <v>161.6</v>
      </c>
      <c r="Y13">
        <v>146.4</v>
      </c>
      <c r="Z13">
        <v>153.9</v>
      </c>
      <c r="AA13">
        <v>162.9</v>
      </c>
      <c r="AB13">
        <v>156.6</v>
      </c>
      <c r="AC13">
        <v>155.19999999999999</v>
      </c>
      <c r="AD13">
        <v>160.69999999999999</v>
      </c>
    </row>
    <row r="14" spans="1:30" x14ac:dyDescent="0.25">
      <c r="A14" t="s">
        <v>30</v>
      </c>
      <c r="B14">
        <v>2021</v>
      </c>
      <c r="C14" t="s">
        <v>31</v>
      </c>
      <c r="D14">
        <v>143.4</v>
      </c>
      <c r="E14">
        <v>187.5</v>
      </c>
      <c r="F14">
        <v>173.4</v>
      </c>
      <c r="G14">
        <v>154</v>
      </c>
      <c r="H14">
        <v>154.80000000000001</v>
      </c>
      <c r="I14">
        <v>147</v>
      </c>
      <c r="J14">
        <v>187.8</v>
      </c>
      <c r="K14">
        <v>159.5</v>
      </c>
      <c r="L14">
        <v>113.8</v>
      </c>
      <c r="M14">
        <v>164.5</v>
      </c>
      <c r="N14">
        <v>156.1</v>
      </c>
      <c r="O14">
        <v>164.3</v>
      </c>
      <c r="P14">
        <v>159.6</v>
      </c>
      <c r="Q14">
        <v>184.6</v>
      </c>
      <c r="R14">
        <v>157.5</v>
      </c>
      <c r="S14">
        <v>152.4</v>
      </c>
      <c r="T14">
        <v>156.80000000000001</v>
      </c>
      <c r="U14" t="s">
        <v>32</v>
      </c>
      <c r="V14">
        <v>150.9</v>
      </c>
      <c r="W14">
        <v>153.9</v>
      </c>
      <c r="X14">
        <v>162.5</v>
      </c>
      <c r="Y14">
        <v>147.5</v>
      </c>
      <c r="Z14">
        <v>155.1</v>
      </c>
      <c r="AA14">
        <v>163.5</v>
      </c>
      <c r="AB14">
        <v>156.19999999999999</v>
      </c>
      <c r="AC14">
        <v>155.9</v>
      </c>
      <c r="AD14">
        <v>158.5</v>
      </c>
    </row>
    <row r="15" spans="1:30" x14ac:dyDescent="0.25">
      <c r="A15" t="s">
        <v>30</v>
      </c>
      <c r="B15">
        <v>2021</v>
      </c>
      <c r="C15" t="s">
        <v>35</v>
      </c>
      <c r="D15">
        <v>142.80000000000001</v>
      </c>
      <c r="E15">
        <v>184</v>
      </c>
      <c r="F15">
        <v>168</v>
      </c>
      <c r="G15">
        <v>154.4</v>
      </c>
      <c r="H15">
        <v>163</v>
      </c>
      <c r="I15">
        <v>147.80000000000001</v>
      </c>
      <c r="J15">
        <v>149.69999999999999</v>
      </c>
      <c r="K15">
        <v>158.30000000000001</v>
      </c>
      <c r="L15">
        <v>111.8</v>
      </c>
      <c r="M15">
        <v>165</v>
      </c>
      <c r="N15">
        <v>160</v>
      </c>
      <c r="O15">
        <v>165.8</v>
      </c>
      <c r="P15">
        <v>154.69999999999999</v>
      </c>
      <c r="Q15">
        <v>186.5</v>
      </c>
      <c r="R15">
        <v>159.1</v>
      </c>
      <c r="S15">
        <v>153.9</v>
      </c>
      <c r="T15">
        <v>158.4</v>
      </c>
      <c r="U15" t="s">
        <v>32</v>
      </c>
      <c r="V15">
        <v>154.4</v>
      </c>
      <c r="W15">
        <v>154.80000000000001</v>
      </c>
      <c r="X15">
        <v>164.3</v>
      </c>
      <c r="Y15">
        <v>150.19999999999999</v>
      </c>
      <c r="Z15">
        <v>157</v>
      </c>
      <c r="AA15">
        <v>163.6</v>
      </c>
      <c r="AB15">
        <v>155.19999999999999</v>
      </c>
      <c r="AC15">
        <v>157.19999999999999</v>
      </c>
      <c r="AD15">
        <v>156.69999999999999</v>
      </c>
    </row>
    <row r="16" spans="1:30" x14ac:dyDescent="0.25">
      <c r="A16" t="s">
        <v>30</v>
      </c>
      <c r="B16">
        <v>2021</v>
      </c>
      <c r="C16" t="s">
        <v>36</v>
      </c>
      <c r="D16">
        <v>142.5</v>
      </c>
      <c r="E16">
        <v>189.4</v>
      </c>
      <c r="F16">
        <v>163.19999999999999</v>
      </c>
      <c r="G16">
        <v>154.5</v>
      </c>
      <c r="H16">
        <v>168.2</v>
      </c>
      <c r="I16">
        <v>150.5</v>
      </c>
      <c r="J16">
        <v>141</v>
      </c>
      <c r="K16">
        <v>159.19999999999999</v>
      </c>
      <c r="L16">
        <v>111.7</v>
      </c>
      <c r="M16">
        <v>164</v>
      </c>
      <c r="N16">
        <v>160.6</v>
      </c>
      <c r="O16">
        <v>166.4</v>
      </c>
      <c r="P16">
        <v>154.5</v>
      </c>
      <c r="Q16">
        <v>186.1</v>
      </c>
      <c r="R16">
        <v>159.6</v>
      </c>
      <c r="S16">
        <v>154.4</v>
      </c>
      <c r="T16">
        <v>158.9</v>
      </c>
      <c r="U16" t="s">
        <v>32</v>
      </c>
      <c r="V16">
        <v>156</v>
      </c>
      <c r="W16">
        <v>154.80000000000001</v>
      </c>
      <c r="X16">
        <v>164.6</v>
      </c>
      <c r="Y16">
        <v>151.30000000000001</v>
      </c>
      <c r="Z16">
        <v>157.80000000000001</v>
      </c>
      <c r="AA16">
        <v>163.80000000000001</v>
      </c>
      <c r="AB16">
        <v>153.1</v>
      </c>
      <c r="AC16">
        <v>157.30000000000001</v>
      </c>
      <c r="AD16">
        <v>156.69999999999999</v>
      </c>
    </row>
    <row r="17" spans="1:30" x14ac:dyDescent="0.25">
      <c r="A17" t="s">
        <v>30</v>
      </c>
      <c r="B17">
        <v>2021</v>
      </c>
      <c r="C17" t="s">
        <v>37</v>
      </c>
      <c r="D17">
        <v>142.69999999999999</v>
      </c>
      <c r="E17">
        <v>195.5</v>
      </c>
      <c r="F17">
        <v>163.4</v>
      </c>
      <c r="G17">
        <v>155</v>
      </c>
      <c r="H17">
        <v>175.2</v>
      </c>
      <c r="I17">
        <v>160.6</v>
      </c>
      <c r="J17">
        <v>135.1</v>
      </c>
      <c r="K17">
        <v>161.1</v>
      </c>
      <c r="L17">
        <v>112.2</v>
      </c>
      <c r="M17">
        <v>164.4</v>
      </c>
      <c r="N17">
        <v>161.9</v>
      </c>
      <c r="O17">
        <v>166.8</v>
      </c>
      <c r="P17">
        <v>155.6</v>
      </c>
      <c r="Q17">
        <v>186.8</v>
      </c>
      <c r="R17">
        <v>160.69999999999999</v>
      </c>
      <c r="S17">
        <v>155.1</v>
      </c>
      <c r="T17">
        <v>159.9</v>
      </c>
      <c r="U17" t="s">
        <v>32</v>
      </c>
      <c r="V17">
        <v>156</v>
      </c>
      <c r="W17">
        <v>155.5</v>
      </c>
      <c r="X17">
        <v>165.3</v>
      </c>
      <c r="Y17">
        <v>151.69999999999999</v>
      </c>
      <c r="Z17">
        <v>158.6</v>
      </c>
      <c r="AA17">
        <v>164.1</v>
      </c>
      <c r="AB17">
        <v>154.6</v>
      </c>
      <c r="AC17">
        <v>158</v>
      </c>
      <c r="AD17">
        <v>157.6</v>
      </c>
    </row>
    <row r="18" spans="1:30" x14ac:dyDescent="0.25">
      <c r="A18" t="s">
        <v>30</v>
      </c>
      <c r="B18">
        <v>2021</v>
      </c>
      <c r="C18" t="s">
        <v>38</v>
      </c>
      <c r="D18">
        <v>145.1</v>
      </c>
      <c r="E18">
        <v>198.5</v>
      </c>
      <c r="F18">
        <v>168.6</v>
      </c>
      <c r="G18">
        <v>155.80000000000001</v>
      </c>
      <c r="H18">
        <v>184.4</v>
      </c>
      <c r="I18">
        <v>162.30000000000001</v>
      </c>
      <c r="J18">
        <v>138.4</v>
      </c>
      <c r="K18">
        <v>165.1</v>
      </c>
      <c r="L18">
        <v>114.3</v>
      </c>
      <c r="M18">
        <v>169.7</v>
      </c>
      <c r="N18">
        <v>164.6</v>
      </c>
      <c r="O18">
        <v>169.8</v>
      </c>
      <c r="P18">
        <v>158.69999999999999</v>
      </c>
      <c r="Q18">
        <v>189.6</v>
      </c>
      <c r="R18">
        <v>165.3</v>
      </c>
      <c r="S18">
        <v>160.6</v>
      </c>
      <c r="T18">
        <v>164.5</v>
      </c>
      <c r="U18" t="s">
        <v>32</v>
      </c>
      <c r="V18">
        <v>161.69999999999999</v>
      </c>
      <c r="W18">
        <v>158.80000000000001</v>
      </c>
      <c r="X18">
        <v>169.1</v>
      </c>
      <c r="Y18">
        <v>153.19999999999999</v>
      </c>
      <c r="Z18">
        <v>160</v>
      </c>
      <c r="AA18">
        <v>167.6</v>
      </c>
      <c r="AB18">
        <v>159.30000000000001</v>
      </c>
      <c r="AC18">
        <v>161.1</v>
      </c>
      <c r="AD18">
        <v>161.1</v>
      </c>
    </row>
    <row r="19" spans="1:30" x14ac:dyDescent="0.25">
      <c r="A19" t="s">
        <v>30</v>
      </c>
      <c r="B19">
        <v>2019</v>
      </c>
      <c r="C19" t="s">
        <v>31</v>
      </c>
      <c r="D19">
        <v>136.6</v>
      </c>
      <c r="E19">
        <v>152.5</v>
      </c>
      <c r="F19">
        <v>138.19999999999999</v>
      </c>
      <c r="G19">
        <v>142.4</v>
      </c>
      <c r="H19">
        <v>123.9</v>
      </c>
      <c r="I19">
        <v>135.5</v>
      </c>
      <c r="J19">
        <v>131.69999999999999</v>
      </c>
      <c r="K19">
        <v>121.3</v>
      </c>
      <c r="L19">
        <v>108.4</v>
      </c>
      <c r="M19">
        <v>138.9</v>
      </c>
      <c r="N19">
        <v>137</v>
      </c>
      <c r="O19">
        <v>155.80000000000001</v>
      </c>
      <c r="P19">
        <v>137.4</v>
      </c>
      <c r="Q19">
        <v>162.69999999999999</v>
      </c>
      <c r="R19">
        <v>150.6</v>
      </c>
      <c r="S19">
        <v>145.1</v>
      </c>
      <c r="T19">
        <v>149.9</v>
      </c>
      <c r="U19" t="s">
        <v>32</v>
      </c>
      <c r="V19">
        <v>146.19999999999999</v>
      </c>
      <c r="W19">
        <v>150.1</v>
      </c>
      <c r="X19">
        <v>149.6</v>
      </c>
      <c r="Y19">
        <v>128.6</v>
      </c>
      <c r="Z19">
        <v>142.9</v>
      </c>
      <c r="AA19">
        <v>155.19999999999999</v>
      </c>
      <c r="AB19">
        <v>133.5</v>
      </c>
      <c r="AC19">
        <v>141.69999999999999</v>
      </c>
      <c r="AD19">
        <v>141</v>
      </c>
    </row>
    <row r="20" spans="1:30" x14ac:dyDescent="0.25">
      <c r="A20" t="s">
        <v>30</v>
      </c>
      <c r="B20">
        <v>2019</v>
      </c>
      <c r="C20" t="s">
        <v>35</v>
      </c>
      <c r="D20">
        <v>136.80000000000001</v>
      </c>
      <c r="E20">
        <v>153</v>
      </c>
      <c r="F20">
        <v>139.1</v>
      </c>
      <c r="G20">
        <v>142.5</v>
      </c>
      <c r="H20">
        <v>124.1</v>
      </c>
      <c r="I20">
        <v>135.80000000000001</v>
      </c>
      <c r="J20">
        <v>128.69999999999999</v>
      </c>
      <c r="K20">
        <v>121.5</v>
      </c>
      <c r="L20">
        <v>108.3</v>
      </c>
      <c r="M20">
        <v>139.19999999999999</v>
      </c>
      <c r="N20">
        <v>137.4</v>
      </c>
      <c r="O20">
        <v>156.19999999999999</v>
      </c>
      <c r="P20">
        <v>137.19999999999999</v>
      </c>
      <c r="Q20">
        <v>162.80000000000001</v>
      </c>
      <c r="R20">
        <v>150.5</v>
      </c>
      <c r="S20">
        <v>146.1</v>
      </c>
      <c r="T20">
        <v>149.9</v>
      </c>
      <c r="U20" t="s">
        <v>32</v>
      </c>
      <c r="V20">
        <v>145.30000000000001</v>
      </c>
      <c r="W20">
        <v>150.1</v>
      </c>
      <c r="X20">
        <v>149.9</v>
      </c>
      <c r="Y20">
        <v>129.19999999999999</v>
      </c>
      <c r="Z20">
        <v>143.4</v>
      </c>
      <c r="AA20">
        <v>155.5</v>
      </c>
      <c r="AB20">
        <v>134.9</v>
      </c>
      <c r="AC20">
        <v>142.19999999999999</v>
      </c>
      <c r="AD20">
        <v>141</v>
      </c>
    </row>
    <row r="21" spans="1:30" x14ac:dyDescent="0.25">
      <c r="A21" t="s">
        <v>30</v>
      </c>
      <c r="B21">
        <v>2019</v>
      </c>
      <c r="C21" t="s">
        <v>36</v>
      </c>
      <c r="D21">
        <v>136.9</v>
      </c>
      <c r="E21">
        <v>154.1</v>
      </c>
      <c r="F21">
        <v>138.69999999999999</v>
      </c>
      <c r="G21">
        <v>142.5</v>
      </c>
      <c r="H21">
        <v>124.1</v>
      </c>
      <c r="I21">
        <v>136.1</v>
      </c>
      <c r="J21">
        <v>128.19999999999999</v>
      </c>
      <c r="K21">
        <v>122.3</v>
      </c>
      <c r="L21">
        <v>108.3</v>
      </c>
      <c r="M21">
        <v>138.9</v>
      </c>
      <c r="N21">
        <v>137.4</v>
      </c>
      <c r="O21">
        <v>156.4</v>
      </c>
      <c r="P21">
        <v>137.30000000000001</v>
      </c>
      <c r="Q21">
        <v>162.9</v>
      </c>
      <c r="R21">
        <v>150.80000000000001</v>
      </c>
      <c r="S21">
        <v>146.1</v>
      </c>
      <c r="T21">
        <v>150.1</v>
      </c>
      <c r="U21" t="s">
        <v>32</v>
      </c>
      <c r="V21">
        <v>146.4</v>
      </c>
      <c r="W21">
        <v>150</v>
      </c>
      <c r="X21">
        <v>150.4</v>
      </c>
      <c r="Y21">
        <v>129.9</v>
      </c>
      <c r="Z21">
        <v>143.80000000000001</v>
      </c>
      <c r="AA21">
        <v>155.5</v>
      </c>
      <c r="AB21">
        <v>134</v>
      </c>
      <c r="AC21">
        <v>142.4</v>
      </c>
      <c r="AD21">
        <v>141.19999999999999</v>
      </c>
    </row>
    <row r="22" spans="1:30" x14ac:dyDescent="0.25">
      <c r="A22" t="s">
        <v>30</v>
      </c>
      <c r="B22">
        <v>2019</v>
      </c>
      <c r="C22" t="s">
        <v>38</v>
      </c>
      <c r="D22">
        <v>137.4</v>
      </c>
      <c r="E22">
        <v>159.5</v>
      </c>
      <c r="F22">
        <v>134.5</v>
      </c>
      <c r="G22">
        <v>142.6</v>
      </c>
      <c r="H22">
        <v>124</v>
      </c>
      <c r="I22">
        <v>143.69999999999999</v>
      </c>
      <c r="J22">
        <v>133.4</v>
      </c>
      <c r="K22">
        <v>125.1</v>
      </c>
      <c r="L22">
        <v>109.3</v>
      </c>
      <c r="M22">
        <v>139.30000000000001</v>
      </c>
      <c r="N22">
        <v>137.69999999999999</v>
      </c>
      <c r="O22">
        <v>156.4</v>
      </c>
      <c r="P22">
        <v>139.19999999999999</v>
      </c>
      <c r="Q22">
        <v>163.30000000000001</v>
      </c>
      <c r="R22">
        <v>151.30000000000001</v>
      </c>
      <c r="S22">
        <v>146.6</v>
      </c>
      <c r="T22">
        <v>150.69999999999999</v>
      </c>
      <c r="U22" t="s">
        <v>32</v>
      </c>
      <c r="V22">
        <v>146.9</v>
      </c>
      <c r="W22">
        <v>149.5</v>
      </c>
      <c r="X22">
        <v>151.30000000000001</v>
      </c>
      <c r="Y22">
        <v>130.19999999999999</v>
      </c>
      <c r="Z22">
        <v>145.9</v>
      </c>
      <c r="AA22">
        <v>156.69999999999999</v>
      </c>
      <c r="AB22">
        <v>133.9</v>
      </c>
      <c r="AC22">
        <v>142.9</v>
      </c>
      <c r="AD22">
        <v>142.4</v>
      </c>
    </row>
    <row r="23" spans="1:30" x14ac:dyDescent="0.25">
      <c r="A23" t="s">
        <v>30</v>
      </c>
      <c r="B23">
        <v>2019</v>
      </c>
      <c r="C23" t="s">
        <v>39</v>
      </c>
      <c r="D23">
        <v>137.80000000000001</v>
      </c>
      <c r="E23">
        <v>163.5</v>
      </c>
      <c r="F23">
        <v>136.19999999999999</v>
      </c>
      <c r="G23">
        <v>143.19999999999999</v>
      </c>
      <c r="H23">
        <v>124.3</v>
      </c>
      <c r="I23">
        <v>143.30000000000001</v>
      </c>
      <c r="J23">
        <v>140.6</v>
      </c>
      <c r="K23">
        <v>128.69999999999999</v>
      </c>
      <c r="L23">
        <v>110.6</v>
      </c>
      <c r="M23">
        <v>140.4</v>
      </c>
      <c r="N23">
        <v>138</v>
      </c>
      <c r="O23">
        <v>156.6</v>
      </c>
      <c r="P23">
        <v>141</v>
      </c>
      <c r="Q23">
        <v>164.2</v>
      </c>
      <c r="R23">
        <v>151.4</v>
      </c>
      <c r="S23">
        <v>146.5</v>
      </c>
      <c r="T23">
        <v>150.69999999999999</v>
      </c>
      <c r="U23" t="s">
        <v>32</v>
      </c>
      <c r="V23">
        <v>147.80000000000001</v>
      </c>
      <c r="W23">
        <v>149.6</v>
      </c>
      <c r="X23">
        <v>151.69999999999999</v>
      </c>
      <c r="Y23">
        <v>130.19999999999999</v>
      </c>
      <c r="Z23">
        <v>146.4</v>
      </c>
      <c r="AA23">
        <v>157.69999999999999</v>
      </c>
      <c r="AB23">
        <v>134.80000000000001</v>
      </c>
      <c r="AC23">
        <v>143.30000000000001</v>
      </c>
      <c r="AD23">
        <v>143.6</v>
      </c>
    </row>
    <row r="24" spans="1:30" x14ac:dyDescent="0.25">
      <c r="A24" t="s">
        <v>30</v>
      </c>
      <c r="B24">
        <v>2019</v>
      </c>
      <c r="C24" t="s">
        <v>40</v>
      </c>
      <c r="D24">
        <v>138.4</v>
      </c>
      <c r="E24">
        <v>164</v>
      </c>
      <c r="F24">
        <v>138.4</v>
      </c>
      <c r="G24">
        <v>143.9</v>
      </c>
      <c r="H24">
        <v>124.4</v>
      </c>
      <c r="I24">
        <v>146.4</v>
      </c>
      <c r="J24">
        <v>150.1</v>
      </c>
      <c r="K24">
        <v>130.6</v>
      </c>
      <c r="L24">
        <v>110.8</v>
      </c>
      <c r="M24">
        <v>141.69999999999999</v>
      </c>
      <c r="N24">
        <v>138.5</v>
      </c>
      <c r="O24">
        <v>156.69999999999999</v>
      </c>
      <c r="P24">
        <v>143</v>
      </c>
      <c r="Q24">
        <v>164.5</v>
      </c>
      <c r="R24">
        <v>151.6</v>
      </c>
      <c r="S24">
        <v>146.6</v>
      </c>
      <c r="T24">
        <v>150.9</v>
      </c>
      <c r="U24" t="s">
        <v>32</v>
      </c>
      <c r="V24">
        <v>146.80000000000001</v>
      </c>
      <c r="W24">
        <v>150</v>
      </c>
      <c r="X24">
        <v>152.19999999999999</v>
      </c>
      <c r="Y24">
        <v>131.19999999999999</v>
      </c>
      <c r="Z24">
        <v>147.5</v>
      </c>
      <c r="AA24">
        <v>159.1</v>
      </c>
      <c r="AB24">
        <v>136.1</v>
      </c>
      <c r="AC24">
        <v>144.19999999999999</v>
      </c>
      <c r="AD24">
        <v>144.9</v>
      </c>
    </row>
    <row r="25" spans="1:30" x14ac:dyDescent="0.25">
      <c r="A25" t="s">
        <v>30</v>
      </c>
      <c r="B25">
        <v>2019</v>
      </c>
      <c r="C25" t="s">
        <v>41</v>
      </c>
      <c r="D25">
        <v>139.19999999999999</v>
      </c>
      <c r="E25">
        <v>161.9</v>
      </c>
      <c r="F25">
        <v>137.1</v>
      </c>
      <c r="G25">
        <v>144.6</v>
      </c>
      <c r="H25">
        <v>124.7</v>
      </c>
      <c r="I25">
        <v>145.5</v>
      </c>
      <c r="J25">
        <v>156.19999999999999</v>
      </c>
      <c r="K25">
        <v>131.5</v>
      </c>
      <c r="L25">
        <v>111.7</v>
      </c>
      <c r="M25">
        <v>142.69999999999999</v>
      </c>
      <c r="N25">
        <v>138.5</v>
      </c>
      <c r="O25">
        <v>156.9</v>
      </c>
      <c r="P25">
        <v>144</v>
      </c>
      <c r="Q25">
        <v>165.1</v>
      </c>
      <c r="R25">
        <v>151.80000000000001</v>
      </c>
      <c r="S25">
        <v>146.6</v>
      </c>
      <c r="T25">
        <v>151.1</v>
      </c>
      <c r="U25" t="s">
        <v>32</v>
      </c>
      <c r="V25">
        <v>146.4</v>
      </c>
      <c r="W25">
        <v>150.19999999999999</v>
      </c>
      <c r="X25">
        <v>152.69999999999999</v>
      </c>
      <c r="Y25">
        <v>131.4</v>
      </c>
      <c r="Z25">
        <v>148</v>
      </c>
      <c r="AA25">
        <v>159.69999999999999</v>
      </c>
      <c r="AB25">
        <v>138.80000000000001</v>
      </c>
      <c r="AC25">
        <v>144.9</v>
      </c>
      <c r="AD25">
        <v>145.69999999999999</v>
      </c>
    </row>
    <row r="26" spans="1:30" x14ac:dyDescent="0.25">
      <c r="A26" t="s">
        <v>30</v>
      </c>
      <c r="B26">
        <v>2019</v>
      </c>
      <c r="C26" t="s">
        <v>42</v>
      </c>
      <c r="D26">
        <v>140.1</v>
      </c>
      <c r="E26">
        <v>161.9</v>
      </c>
      <c r="F26">
        <v>138.30000000000001</v>
      </c>
      <c r="G26">
        <v>145.69999999999999</v>
      </c>
      <c r="H26">
        <v>125.1</v>
      </c>
      <c r="I26">
        <v>143.80000000000001</v>
      </c>
      <c r="J26">
        <v>163.4</v>
      </c>
      <c r="K26">
        <v>132.19999999999999</v>
      </c>
      <c r="L26">
        <v>112.8</v>
      </c>
      <c r="M26">
        <v>144.19999999999999</v>
      </c>
      <c r="N26">
        <v>138.5</v>
      </c>
      <c r="O26">
        <v>157.19999999999999</v>
      </c>
      <c r="P26">
        <v>145.5</v>
      </c>
      <c r="Q26">
        <v>165.7</v>
      </c>
      <c r="R26">
        <v>151.69999999999999</v>
      </c>
      <c r="S26">
        <v>146.6</v>
      </c>
      <c r="T26">
        <v>151</v>
      </c>
      <c r="U26" t="s">
        <v>32</v>
      </c>
      <c r="V26">
        <v>146.9</v>
      </c>
      <c r="W26">
        <v>150.30000000000001</v>
      </c>
      <c r="X26">
        <v>153.4</v>
      </c>
      <c r="Y26">
        <v>131.6</v>
      </c>
      <c r="Z26">
        <v>148.30000000000001</v>
      </c>
      <c r="AA26">
        <v>160.19999999999999</v>
      </c>
      <c r="AB26">
        <v>140.19999999999999</v>
      </c>
      <c r="AC26">
        <v>145.4</v>
      </c>
      <c r="AD26">
        <v>146.69999999999999</v>
      </c>
    </row>
    <row r="27" spans="1:30" x14ac:dyDescent="0.25">
      <c r="A27" t="s">
        <v>30</v>
      </c>
      <c r="B27">
        <v>2019</v>
      </c>
      <c r="C27" t="s">
        <v>43</v>
      </c>
      <c r="D27">
        <v>141</v>
      </c>
      <c r="E27">
        <v>161.6</v>
      </c>
      <c r="F27">
        <v>141.19999999999999</v>
      </c>
      <c r="G27">
        <v>146.5</v>
      </c>
      <c r="H27">
        <v>125.6</v>
      </c>
      <c r="I27">
        <v>145.69999999999999</v>
      </c>
      <c r="J27">
        <v>178.8</v>
      </c>
      <c r="K27">
        <v>133.1</v>
      </c>
      <c r="L27">
        <v>113.6</v>
      </c>
      <c r="M27">
        <v>145.5</v>
      </c>
      <c r="N27">
        <v>138.6</v>
      </c>
      <c r="O27">
        <v>157.4</v>
      </c>
      <c r="P27">
        <v>148.30000000000001</v>
      </c>
      <c r="Q27">
        <v>166.3</v>
      </c>
      <c r="R27">
        <v>151.69999999999999</v>
      </c>
      <c r="S27">
        <v>146.69999999999999</v>
      </c>
      <c r="T27">
        <v>151</v>
      </c>
      <c r="U27" t="s">
        <v>32</v>
      </c>
      <c r="V27">
        <v>147.69999999999999</v>
      </c>
      <c r="W27">
        <v>150.6</v>
      </c>
      <c r="X27">
        <v>153.69999999999999</v>
      </c>
      <c r="Y27">
        <v>131.69999999999999</v>
      </c>
      <c r="Z27">
        <v>148.69999999999999</v>
      </c>
      <c r="AA27">
        <v>160.69999999999999</v>
      </c>
      <c r="AB27">
        <v>140.30000000000001</v>
      </c>
      <c r="AC27">
        <v>145.69999999999999</v>
      </c>
      <c r="AD27">
        <v>148.30000000000001</v>
      </c>
    </row>
    <row r="28" spans="1:30" x14ac:dyDescent="0.25">
      <c r="A28" t="s">
        <v>30</v>
      </c>
      <c r="B28">
        <v>2019</v>
      </c>
      <c r="C28" t="s">
        <v>45</v>
      </c>
      <c r="D28">
        <v>141.80000000000001</v>
      </c>
      <c r="E28">
        <v>163.69999999999999</v>
      </c>
      <c r="F28">
        <v>143.80000000000001</v>
      </c>
      <c r="G28">
        <v>147.1</v>
      </c>
      <c r="H28">
        <v>126</v>
      </c>
      <c r="I28">
        <v>146.19999999999999</v>
      </c>
      <c r="J28">
        <v>191.4</v>
      </c>
      <c r="K28">
        <v>136.19999999999999</v>
      </c>
      <c r="L28">
        <v>113.8</v>
      </c>
      <c r="M28">
        <v>147.30000000000001</v>
      </c>
      <c r="N28">
        <v>138.69999999999999</v>
      </c>
      <c r="O28">
        <v>157.69999999999999</v>
      </c>
      <c r="P28">
        <v>150.9</v>
      </c>
      <c r="Q28">
        <v>167.2</v>
      </c>
      <c r="R28">
        <v>152.30000000000001</v>
      </c>
      <c r="S28">
        <v>147</v>
      </c>
      <c r="T28">
        <v>151.5</v>
      </c>
      <c r="U28" t="s">
        <v>32</v>
      </c>
      <c r="V28">
        <v>148.4</v>
      </c>
      <c r="W28">
        <v>150.9</v>
      </c>
      <c r="X28">
        <v>154.30000000000001</v>
      </c>
      <c r="Y28">
        <v>132.1</v>
      </c>
      <c r="Z28">
        <v>149.1</v>
      </c>
      <c r="AA28">
        <v>160.80000000000001</v>
      </c>
      <c r="AB28">
        <v>140.6</v>
      </c>
      <c r="AC28">
        <v>146.1</v>
      </c>
      <c r="AD28">
        <v>149.9</v>
      </c>
    </row>
    <row r="29" spans="1:30" x14ac:dyDescent="0.25">
      <c r="A29" t="s">
        <v>30</v>
      </c>
      <c r="B29">
        <v>2019</v>
      </c>
      <c r="C29" t="s">
        <v>46</v>
      </c>
      <c r="D29">
        <v>142.80000000000001</v>
      </c>
      <c r="E29">
        <v>165.3</v>
      </c>
      <c r="F29">
        <v>149.5</v>
      </c>
      <c r="G29">
        <v>148.69999999999999</v>
      </c>
      <c r="H29">
        <v>127.5</v>
      </c>
      <c r="I29">
        <v>144.30000000000001</v>
      </c>
      <c r="J29">
        <v>209.5</v>
      </c>
      <c r="K29">
        <v>138.80000000000001</v>
      </c>
      <c r="L29">
        <v>113.6</v>
      </c>
      <c r="M29">
        <v>149.1</v>
      </c>
      <c r="N29">
        <v>139.30000000000001</v>
      </c>
      <c r="O29">
        <v>158.30000000000001</v>
      </c>
      <c r="P29">
        <v>154.30000000000001</v>
      </c>
      <c r="Q29">
        <v>167.8</v>
      </c>
      <c r="R29">
        <v>152.6</v>
      </c>
      <c r="S29">
        <v>147.30000000000001</v>
      </c>
      <c r="T29">
        <v>151.9</v>
      </c>
      <c r="U29" t="s">
        <v>32</v>
      </c>
      <c r="V29">
        <v>149.9</v>
      </c>
      <c r="W29">
        <v>151.19999999999999</v>
      </c>
      <c r="X29">
        <v>154.80000000000001</v>
      </c>
      <c r="Y29">
        <v>135</v>
      </c>
      <c r="Z29">
        <v>149.5</v>
      </c>
      <c r="AA29">
        <v>161.1</v>
      </c>
      <c r="AB29">
        <v>140.6</v>
      </c>
      <c r="AC29">
        <v>147.1</v>
      </c>
      <c r="AD29">
        <v>152.30000000000001</v>
      </c>
    </row>
    <row r="30" spans="1:30" x14ac:dyDescent="0.25">
      <c r="A30" t="s">
        <v>30</v>
      </c>
      <c r="B30">
        <v>2021</v>
      </c>
      <c r="C30" t="s">
        <v>39</v>
      </c>
      <c r="D30">
        <v>145.6</v>
      </c>
      <c r="E30">
        <v>200.1</v>
      </c>
      <c r="F30">
        <v>179.3</v>
      </c>
      <c r="G30">
        <v>156.1</v>
      </c>
      <c r="H30">
        <v>190.4</v>
      </c>
      <c r="I30">
        <v>158.6</v>
      </c>
      <c r="J30">
        <v>144.69999999999999</v>
      </c>
      <c r="K30">
        <v>165.5</v>
      </c>
      <c r="L30">
        <v>114.6</v>
      </c>
      <c r="M30">
        <v>170</v>
      </c>
      <c r="N30">
        <v>165.5</v>
      </c>
      <c r="O30">
        <v>171.7</v>
      </c>
      <c r="P30">
        <v>160.5</v>
      </c>
      <c r="Q30">
        <v>189.1</v>
      </c>
      <c r="R30">
        <v>165.3</v>
      </c>
      <c r="S30">
        <v>159.9</v>
      </c>
      <c r="T30">
        <v>164.6</v>
      </c>
      <c r="U30" t="s">
        <v>32</v>
      </c>
      <c r="V30">
        <v>162.1</v>
      </c>
      <c r="W30">
        <v>159.19999999999999</v>
      </c>
      <c r="X30">
        <v>169.7</v>
      </c>
      <c r="Y30">
        <v>154.19999999999999</v>
      </c>
      <c r="Z30">
        <v>160.4</v>
      </c>
      <c r="AA30">
        <v>166.8</v>
      </c>
      <c r="AB30">
        <v>159.4</v>
      </c>
      <c r="AC30">
        <v>161.5</v>
      </c>
      <c r="AD30">
        <v>162.1</v>
      </c>
    </row>
    <row r="31" spans="1:30" x14ac:dyDescent="0.25">
      <c r="A31" t="s">
        <v>30</v>
      </c>
      <c r="B31">
        <v>2021</v>
      </c>
      <c r="C31" t="s">
        <v>40</v>
      </c>
      <c r="D31">
        <v>145.1</v>
      </c>
      <c r="E31">
        <v>204.5</v>
      </c>
      <c r="F31">
        <v>180.4</v>
      </c>
      <c r="G31">
        <v>157.1</v>
      </c>
      <c r="H31">
        <v>188.7</v>
      </c>
      <c r="I31">
        <v>157.69999999999999</v>
      </c>
      <c r="J31">
        <v>152.80000000000001</v>
      </c>
      <c r="K31">
        <v>163.6</v>
      </c>
      <c r="L31">
        <v>113.9</v>
      </c>
      <c r="M31">
        <v>169.7</v>
      </c>
      <c r="N31">
        <v>166.2</v>
      </c>
      <c r="O31">
        <v>171</v>
      </c>
      <c r="P31">
        <v>161.69999999999999</v>
      </c>
      <c r="Q31">
        <v>189.7</v>
      </c>
      <c r="R31">
        <v>166</v>
      </c>
      <c r="S31">
        <v>161.1</v>
      </c>
      <c r="T31">
        <v>165.3</v>
      </c>
      <c r="U31" t="s">
        <v>32</v>
      </c>
      <c r="V31">
        <v>162.5</v>
      </c>
      <c r="W31">
        <v>160.30000000000001</v>
      </c>
      <c r="X31">
        <v>170.4</v>
      </c>
      <c r="Y31">
        <v>157.1</v>
      </c>
      <c r="Z31">
        <v>160.69999999999999</v>
      </c>
      <c r="AA31">
        <v>167.2</v>
      </c>
      <c r="AB31">
        <v>160.4</v>
      </c>
      <c r="AC31">
        <v>162.80000000000001</v>
      </c>
      <c r="AD31">
        <v>163.19999999999999</v>
      </c>
    </row>
    <row r="32" spans="1:30" x14ac:dyDescent="0.25">
      <c r="A32" t="s">
        <v>30</v>
      </c>
      <c r="B32">
        <v>2021</v>
      </c>
      <c r="C32" t="s">
        <v>41</v>
      </c>
      <c r="D32">
        <v>144.9</v>
      </c>
      <c r="E32">
        <v>202.3</v>
      </c>
      <c r="F32">
        <v>176.5</v>
      </c>
      <c r="G32">
        <v>157.5</v>
      </c>
      <c r="H32">
        <v>190.9</v>
      </c>
      <c r="I32">
        <v>155.69999999999999</v>
      </c>
      <c r="J32">
        <v>153.9</v>
      </c>
      <c r="K32">
        <v>162.80000000000001</v>
      </c>
      <c r="L32">
        <v>115.2</v>
      </c>
      <c r="M32">
        <v>169.8</v>
      </c>
      <c r="N32">
        <v>167.6</v>
      </c>
      <c r="O32">
        <v>171.9</v>
      </c>
      <c r="P32">
        <v>161.80000000000001</v>
      </c>
      <c r="Q32">
        <v>190.2</v>
      </c>
      <c r="R32">
        <v>167</v>
      </c>
      <c r="S32">
        <v>162.6</v>
      </c>
      <c r="T32">
        <v>166.3</v>
      </c>
      <c r="U32" t="s">
        <v>32</v>
      </c>
      <c r="V32">
        <v>163.1</v>
      </c>
      <c r="W32">
        <v>160.9</v>
      </c>
      <c r="X32">
        <v>171.1</v>
      </c>
      <c r="Y32">
        <v>157.69999999999999</v>
      </c>
      <c r="Z32">
        <v>161.1</v>
      </c>
      <c r="AA32">
        <v>167.5</v>
      </c>
      <c r="AB32">
        <v>160.30000000000001</v>
      </c>
      <c r="AC32">
        <v>163.30000000000001</v>
      </c>
      <c r="AD32">
        <v>163.6</v>
      </c>
    </row>
    <row r="33" spans="1:30" x14ac:dyDescent="0.25">
      <c r="A33" t="s">
        <v>30</v>
      </c>
      <c r="B33">
        <v>2021</v>
      </c>
      <c r="C33" t="s">
        <v>42</v>
      </c>
      <c r="D33">
        <v>145.4</v>
      </c>
      <c r="E33">
        <v>202.1</v>
      </c>
      <c r="F33">
        <v>172</v>
      </c>
      <c r="G33">
        <v>158</v>
      </c>
      <c r="H33">
        <v>195.5</v>
      </c>
      <c r="I33">
        <v>152.69999999999999</v>
      </c>
      <c r="J33">
        <v>151.4</v>
      </c>
      <c r="K33">
        <v>163.9</v>
      </c>
      <c r="L33">
        <v>119.3</v>
      </c>
      <c r="M33">
        <v>170.1</v>
      </c>
      <c r="N33">
        <v>168.3</v>
      </c>
      <c r="O33">
        <v>172.8</v>
      </c>
      <c r="P33">
        <v>162.1</v>
      </c>
      <c r="Q33">
        <v>190.5</v>
      </c>
      <c r="R33">
        <v>167.7</v>
      </c>
      <c r="S33">
        <v>163.6</v>
      </c>
      <c r="T33">
        <v>167.1</v>
      </c>
      <c r="U33" t="s">
        <v>32</v>
      </c>
      <c r="V33">
        <v>163.69999999999999</v>
      </c>
      <c r="W33">
        <v>161.30000000000001</v>
      </c>
      <c r="X33">
        <v>171.9</v>
      </c>
      <c r="Y33">
        <v>157.80000000000001</v>
      </c>
      <c r="Z33">
        <v>162.69999999999999</v>
      </c>
      <c r="AA33">
        <v>168.5</v>
      </c>
      <c r="AB33">
        <v>160.19999999999999</v>
      </c>
      <c r="AC33">
        <v>163.80000000000001</v>
      </c>
      <c r="AD33">
        <v>164</v>
      </c>
    </row>
    <row r="34" spans="1:30" x14ac:dyDescent="0.25">
      <c r="A34" t="s">
        <v>30</v>
      </c>
      <c r="B34">
        <v>2021</v>
      </c>
      <c r="C34" t="s">
        <v>43</v>
      </c>
      <c r="D34">
        <v>146.1</v>
      </c>
      <c r="E34">
        <v>202.5</v>
      </c>
      <c r="F34">
        <v>170.1</v>
      </c>
      <c r="G34">
        <v>158.4</v>
      </c>
      <c r="H34">
        <v>198.8</v>
      </c>
      <c r="I34">
        <v>152.6</v>
      </c>
      <c r="J34">
        <v>170.4</v>
      </c>
      <c r="K34">
        <v>165.2</v>
      </c>
      <c r="L34">
        <v>121.6</v>
      </c>
      <c r="M34">
        <v>170.6</v>
      </c>
      <c r="N34">
        <v>168.8</v>
      </c>
      <c r="O34">
        <v>173.6</v>
      </c>
      <c r="P34">
        <v>165.5</v>
      </c>
      <c r="Q34">
        <v>191.2</v>
      </c>
      <c r="R34">
        <v>168.9</v>
      </c>
      <c r="S34">
        <v>164.8</v>
      </c>
      <c r="T34">
        <v>168.3</v>
      </c>
      <c r="U34" t="s">
        <v>32</v>
      </c>
      <c r="V34">
        <v>165.5</v>
      </c>
      <c r="W34">
        <v>162</v>
      </c>
      <c r="X34">
        <v>172.5</v>
      </c>
      <c r="Y34">
        <v>159.5</v>
      </c>
      <c r="Z34">
        <v>163.19999999999999</v>
      </c>
      <c r="AA34">
        <v>169</v>
      </c>
      <c r="AB34">
        <v>161.1</v>
      </c>
      <c r="AC34">
        <v>164.7</v>
      </c>
      <c r="AD34">
        <v>166.3</v>
      </c>
    </row>
    <row r="35" spans="1:30" x14ac:dyDescent="0.25">
      <c r="A35" t="s">
        <v>30</v>
      </c>
      <c r="B35">
        <v>2021</v>
      </c>
      <c r="C35" t="s">
        <v>45</v>
      </c>
      <c r="D35">
        <v>146.9</v>
      </c>
      <c r="E35">
        <v>199.8</v>
      </c>
      <c r="F35">
        <v>171.5</v>
      </c>
      <c r="G35">
        <v>159.1</v>
      </c>
      <c r="H35">
        <v>198.4</v>
      </c>
      <c r="I35">
        <v>153.19999999999999</v>
      </c>
      <c r="J35">
        <v>183.9</v>
      </c>
      <c r="K35">
        <v>165.4</v>
      </c>
      <c r="L35">
        <v>122.1</v>
      </c>
      <c r="M35">
        <v>170.8</v>
      </c>
      <c r="N35">
        <v>169.1</v>
      </c>
      <c r="O35">
        <v>174.3</v>
      </c>
      <c r="P35">
        <v>167.5</v>
      </c>
      <c r="Q35">
        <v>191.4</v>
      </c>
      <c r="R35">
        <v>170.4</v>
      </c>
      <c r="S35">
        <v>166</v>
      </c>
      <c r="T35">
        <v>169.8</v>
      </c>
      <c r="U35" t="s">
        <v>32</v>
      </c>
      <c r="V35">
        <v>165.3</v>
      </c>
      <c r="W35">
        <v>162.9</v>
      </c>
      <c r="X35">
        <v>173.4</v>
      </c>
      <c r="Y35">
        <v>158.9</v>
      </c>
      <c r="Z35">
        <v>163.80000000000001</v>
      </c>
      <c r="AA35">
        <v>169.3</v>
      </c>
      <c r="AB35">
        <v>162.4</v>
      </c>
      <c r="AC35">
        <v>165.2</v>
      </c>
      <c r="AD35">
        <v>167.6</v>
      </c>
    </row>
    <row r="36" spans="1:30" x14ac:dyDescent="0.25">
      <c r="A36" t="s">
        <v>30</v>
      </c>
      <c r="B36">
        <v>2021</v>
      </c>
      <c r="C36" t="s">
        <v>46</v>
      </c>
      <c r="D36">
        <v>147.4</v>
      </c>
      <c r="E36">
        <v>197</v>
      </c>
      <c r="F36">
        <v>176.5</v>
      </c>
      <c r="G36">
        <v>159.80000000000001</v>
      </c>
      <c r="H36">
        <v>195.8</v>
      </c>
      <c r="I36">
        <v>152</v>
      </c>
      <c r="J36">
        <v>172.3</v>
      </c>
      <c r="K36">
        <v>164.5</v>
      </c>
      <c r="L36">
        <v>120.6</v>
      </c>
      <c r="M36">
        <v>171.7</v>
      </c>
      <c r="N36">
        <v>169.7</v>
      </c>
      <c r="O36">
        <v>175.1</v>
      </c>
      <c r="P36">
        <v>165.8</v>
      </c>
      <c r="Q36">
        <v>190.8</v>
      </c>
      <c r="R36">
        <v>171.8</v>
      </c>
      <c r="S36">
        <v>167.3</v>
      </c>
      <c r="T36">
        <v>171.2</v>
      </c>
      <c r="U36" t="s">
        <v>32</v>
      </c>
      <c r="V36">
        <v>165.6</v>
      </c>
      <c r="W36">
        <v>163.9</v>
      </c>
      <c r="X36">
        <v>174</v>
      </c>
      <c r="Y36">
        <v>160.1</v>
      </c>
      <c r="Z36">
        <v>164.5</v>
      </c>
      <c r="AA36">
        <v>169.7</v>
      </c>
      <c r="AB36">
        <v>162.80000000000001</v>
      </c>
      <c r="AC36">
        <v>166</v>
      </c>
      <c r="AD36">
        <v>167</v>
      </c>
    </row>
    <row r="37" spans="1:30" x14ac:dyDescent="0.25">
      <c r="A37" t="s">
        <v>30</v>
      </c>
      <c r="B37">
        <v>2022</v>
      </c>
      <c r="C37" t="s">
        <v>31</v>
      </c>
      <c r="D37">
        <v>148.30000000000001</v>
      </c>
      <c r="E37">
        <v>196.9</v>
      </c>
      <c r="F37">
        <v>178</v>
      </c>
      <c r="G37">
        <v>160.5</v>
      </c>
      <c r="H37">
        <v>192.6</v>
      </c>
      <c r="I37">
        <v>151.19999999999999</v>
      </c>
      <c r="J37">
        <v>159.19999999999999</v>
      </c>
      <c r="K37">
        <v>164</v>
      </c>
      <c r="L37">
        <v>119.3</v>
      </c>
      <c r="M37">
        <v>173.3</v>
      </c>
      <c r="N37">
        <v>169.8</v>
      </c>
      <c r="O37">
        <v>175.8</v>
      </c>
      <c r="P37">
        <v>164.1</v>
      </c>
      <c r="Q37">
        <v>190.7</v>
      </c>
      <c r="R37">
        <v>173.2</v>
      </c>
      <c r="S37">
        <v>169.3</v>
      </c>
      <c r="T37">
        <v>172.7</v>
      </c>
      <c r="U37" t="s">
        <v>32</v>
      </c>
      <c r="V37">
        <v>165.8</v>
      </c>
      <c r="W37">
        <v>164.9</v>
      </c>
      <c r="X37">
        <v>174.7</v>
      </c>
      <c r="Y37">
        <v>160.80000000000001</v>
      </c>
      <c r="Z37">
        <v>164.9</v>
      </c>
      <c r="AA37">
        <v>169.9</v>
      </c>
      <c r="AB37">
        <v>163.19999999999999</v>
      </c>
      <c r="AC37">
        <v>166.6</v>
      </c>
      <c r="AD37">
        <v>166.4</v>
      </c>
    </row>
    <row r="38" spans="1:30" x14ac:dyDescent="0.25">
      <c r="A38" t="s">
        <v>30</v>
      </c>
      <c r="B38">
        <v>2022</v>
      </c>
      <c r="C38" t="s">
        <v>35</v>
      </c>
      <c r="D38">
        <v>148.80000000000001</v>
      </c>
      <c r="E38">
        <v>198.1</v>
      </c>
      <c r="F38">
        <v>175.5</v>
      </c>
      <c r="G38">
        <v>160.69999999999999</v>
      </c>
      <c r="H38">
        <v>192.6</v>
      </c>
      <c r="I38">
        <v>151.4</v>
      </c>
      <c r="J38">
        <v>155.19999999999999</v>
      </c>
      <c r="K38">
        <v>163.9</v>
      </c>
      <c r="L38">
        <v>118.1</v>
      </c>
      <c r="M38">
        <v>175.4</v>
      </c>
      <c r="N38">
        <v>170.5</v>
      </c>
      <c r="O38">
        <v>176.3</v>
      </c>
      <c r="P38">
        <v>163.9</v>
      </c>
      <c r="Q38">
        <v>191.5</v>
      </c>
      <c r="R38">
        <v>174.1</v>
      </c>
      <c r="S38">
        <v>171</v>
      </c>
      <c r="T38">
        <v>173.7</v>
      </c>
      <c r="U38" t="s">
        <v>32</v>
      </c>
      <c r="V38">
        <v>167.4</v>
      </c>
      <c r="W38">
        <v>165.7</v>
      </c>
      <c r="X38">
        <v>175.3</v>
      </c>
      <c r="Y38">
        <v>161.19999999999999</v>
      </c>
      <c r="Z38">
        <v>165.5</v>
      </c>
      <c r="AA38">
        <v>170.3</v>
      </c>
      <c r="AB38">
        <v>164.5</v>
      </c>
      <c r="AC38">
        <v>167.3</v>
      </c>
      <c r="AD38">
        <v>166.7</v>
      </c>
    </row>
    <row r="39" spans="1:30" x14ac:dyDescent="0.25">
      <c r="A39" t="s">
        <v>30</v>
      </c>
      <c r="B39">
        <v>2022</v>
      </c>
      <c r="C39" t="s">
        <v>36</v>
      </c>
      <c r="D39">
        <v>150.19999999999999</v>
      </c>
      <c r="E39">
        <v>208</v>
      </c>
      <c r="F39">
        <v>167.9</v>
      </c>
      <c r="G39">
        <v>162</v>
      </c>
      <c r="H39">
        <v>203.1</v>
      </c>
      <c r="I39">
        <v>155.9</v>
      </c>
      <c r="J39">
        <v>155.80000000000001</v>
      </c>
      <c r="K39">
        <v>164.2</v>
      </c>
      <c r="L39">
        <v>118.1</v>
      </c>
      <c r="M39">
        <v>178.7</v>
      </c>
      <c r="N39">
        <v>171.2</v>
      </c>
      <c r="O39">
        <v>177.4</v>
      </c>
      <c r="P39">
        <v>166.6</v>
      </c>
      <c r="Q39">
        <v>192.3</v>
      </c>
      <c r="R39">
        <v>175.4</v>
      </c>
      <c r="S39">
        <v>173.2</v>
      </c>
      <c r="T39">
        <v>175.1</v>
      </c>
      <c r="U39" t="s">
        <v>32</v>
      </c>
      <c r="V39">
        <v>168.9</v>
      </c>
      <c r="W39">
        <v>166.5</v>
      </c>
      <c r="X39">
        <v>176</v>
      </c>
      <c r="Y39">
        <v>162</v>
      </c>
      <c r="Z39">
        <v>166.6</v>
      </c>
      <c r="AA39">
        <v>170.6</v>
      </c>
      <c r="AB39">
        <v>167.4</v>
      </c>
      <c r="AC39">
        <v>168.3</v>
      </c>
      <c r="AD39">
        <v>168.7</v>
      </c>
    </row>
    <row r="40" spans="1:30" x14ac:dyDescent="0.25">
      <c r="A40" t="s">
        <v>30</v>
      </c>
      <c r="B40">
        <v>2022</v>
      </c>
      <c r="C40" t="s">
        <v>37</v>
      </c>
      <c r="D40">
        <v>151.80000000000001</v>
      </c>
      <c r="E40">
        <v>209.7</v>
      </c>
      <c r="F40">
        <v>164.5</v>
      </c>
      <c r="G40">
        <v>163.80000000000001</v>
      </c>
      <c r="H40">
        <v>207.4</v>
      </c>
      <c r="I40">
        <v>169.7</v>
      </c>
      <c r="J40">
        <v>153.6</v>
      </c>
      <c r="K40">
        <v>165.1</v>
      </c>
      <c r="L40">
        <v>118.2</v>
      </c>
      <c r="M40">
        <v>182.9</v>
      </c>
      <c r="N40">
        <v>172.4</v>
      </c>
      <c r="O40">
        <v>178.9</v>
      </c>
      <c r="P40">
        <v>168.6</v>
      </c>
      <c r="Q40">
        <v>192.8</v>
      </c>
      <c r="R40">
        <v>177.5</v>
      </c>
      <c r="S40">
        <v>175.1</v>
      </c>
      <c r="T40">
        <v>177.1</v>
      </c>
      <c r="U40" t="s">
        <v>32</v>
      </c>
      <c r="V40">
        <v>173.3</v>
      </c>
      <c r="W40">
        <v>167.7</v>
      </c>
      <c r="X40">
        <v>177</v>
      </c>
      <c r="Y40">
        <v>166.2</v>
      </c>
      <c r="Z40">
        <v>167.2</v>
      </c>
      <c r="AA40">
        <v>170.9</v>
      </c>
      <c r="AB40">
        <v>169</v>
      </c>
      <c r="AC40">
        <v>170.2</v>
      </c>
      <c r="AD40">
        <v>170.8</v>
      </c>
    </row>
    <row r="41" spans="1:30" x14ac:dyDescent="0.25">
      <c r="A41" t="s">
        <v>30</v>
      </c>
      <c r="B41">
        <v>2022</v>
      </c>
      <c r="C41" t="s">
        <v>38</v>
      </c>
      <c r="D41">
        <v>152.9</v>
      </c>
      <c r="E41">
        <v>214.7</v>
      </c>
      <c r="F41">
        <v>161.4</v>
      </c>
      <c r="G41">
        <v>164.6</v>
      </c>
      <c r="H41">
        <v>209.9</v>
      </c>
      <c r="I41">
        <v>168</v>
      </c>
      <c r="J41">
        <v>160.4</v>
      </c>
      <c r="K41">
        <v>165</v>
      </c>
      <c r="L41">
        <v>118.9</v>
      </c>
      <c r="M41">
        <v>186.6</v>
      </c>
      <c r="N41">
        <v>173.2</v>
      </c>
      <c r="O41">
        <v>180.4</v>
      </c>
      <c r="P41">
        <v>170.8</v>
      </c>
      <c r="Q41">
        <v>192.9</v>
      </c>
      <c r="R41">
        <v>179.3</v>
      </c>
      <c r="S41">
        <v>177.2</v>
      </c>
      <c r="T41">
        <v>179</v>
      </c>
      <c r="U41" t="s">
        <v>32</v>
      </c>
      <c r="V41">
        <v>175.3</v>
      </c>
      <c r="W41">
        <v>168.9</v>
      </c>
      <c r="X41">
        <v>177.7</v>
      </c>
      <c r="Y41">
        <v>167.1</v>
      </c>
      <c r="Z41">
        <v>167.6</v>
      </c>
      <c r="AA41">
        <v>171.8</v>
      </c>
      <c r="AB41">
        <v>168.5</v>
      </c>
      <c r="AC41">
        <v>170.9</v>
      </c>
      <c r="AD41">
        <v>172.5</v>
      </c>
    </row>
    <row r="42" spans="1:30" x14ac:dyDescent="0.25">
      <c r="A42" t="s">
        <v>30</v>
      </c>
      <c r="B42">
        <v>2018</v>
      </c>
      <c r="C42" t="s">
        <v>31</v>
      </c>
      <c r="D42">
        <v>136.6</v>
      </c>
      <c r="E42">
        <v>144.4</v>
      </c>
      <c r="F42">
        <v>143.80000000000001</v>
      </c>
      <c r="G42">
        <v>142</v>
      </c>
      <c r="H42">
        <v>123.2</v>
      </c>
      <c r="I42">
        <v>147.9</v>
      </c>
      <c r="J42">
        <v>152.1</v>
      </c>
      <c r="K42">
        <v>131.80000000000001</v>
      </c>
      <c r="L42">
        <v>119.5</v>
      </c>
      <c r="M42">
        <v>136</v>
      </c>
      <c r="N42">
        <v>131.19999999999999</v>
      </c>
      <c r="O42">
        <v>151.80000000000001</v>
      </c>
      <c r="P42">
        <v>140.4</v>
      </c>
      <c r="Q42">
        <v>153.6</v>
      </c>
      <c r="R42">
        <v>148.30000000000001</v>
      </c>
      <c r="S42">
        <v>142.30000000000001</v>
      </c>
      <c r="T42">
        <v>147.5</v>
      </c>
      <c r="U42" t="s">
        <v>32</v>
      </c>
      <c r="V42">
        <v>142.30000000000001</v>
      </c>
      <c r="W42">
        <v>139.80000000000001</v>
      </c>
      <c r="X42">
        <v>136</v>
      </c>
      <c r="Y42">
        <v>122.7</v>
      </c>
      <c r="Z42">
        <v>134.30000000000001</v>
      </c>
      <c r="AA42">
        <v>141.6</v>
      </c>
      <c r="AB42">
        <v>128.6</v>
      </c>
      <c r="AC42">
        <v>132.30000000000001</v>
      </c>
      <c r="AD42">
        <v>139.30000000000001</v>
      </c>
    </row>
    <row r="43" spans="1:30" x14ac:dyDescent="0.25">
      <c r="A43" t="s">
        <v>30</v>
      </c>
      <c r="B43">
        <v>2018</v>
      </c>
      <c r="C43" t="s">
        <v>35</v>
      </c>
      <c r="D43">
        <v>136.4</v>
      </c>
      <c r="E43">
        <v>143.69999999999999</v>
      </c>
      <c r="F43">
        <v>140.6</v>
      </c>
      <c r="G43">
        <v>141.5</v>
      </c>
      <c r="H43">
        <v>122.9</v>
      </c>
      <c r="I43">
        <v>149.4</v>
      </c>
      <c r="J43">
        <v>142.4</v>
      </c>
      <c r="K43">
        <v>130.19999999999999</v>
      </c>
      <c r="L43">
        <v>117.9</v>
      </c>
      <c r="M43">
        <v>135.6</v>
      </c>
      <c r="N43">
        <v>130.5</v>
      </c>
      <c r="O43">
        <v>151.69999999999999</v>
      </c>
      <c r="P43">
        <v>138.69999999999999</v>
      </c>
      <c r="Q43">
        <v>153.30000000000001</v>
      </c>
      <c r="R43">
        <v>148.69999999999999</v>
      </c>
      <c r="S43">
        <v>142.4</v>
      </c>
      <c r="T43">
        <v>147.80000000000001</v>
      </c>
      <c r="U43" t="s">
        <v>32</v>
      </c>
      <c r="V43">
        <v>142.4</v>
      </c>
      <c r="W43">
        <v>139.9</v>
      </c>
      <c r="X43">
        <v>136.19999999999999</v>
      </c>
      <c r="Y43">
        <v>123.3</v>
      </c>
      <c r="Z43">
        <v>134.30000000000001</v>
      </c>
      <c r="AA43">
        <v>141.5</v>
      </c>
      <c r="AB43">
        <v>128.80000000000001</v>
      </c>
      <c r="AC43">
        <v>132.5</v>
      </c>
      <c r="AD43">
        <v>138.5</v>
      </c>
    </row>
    <row r="44" spans="1:30" x14ac:dyDescent="0.25">
      <c r="A44" t="s">
        <v>30</v>
      </c>
      <c r="B44">
        <v>2018</v>
      </c>
      <c r="C44" t="s">
        <v>36</v>
      </c>
      <c r="D44">
        <v>136.80000000000001</v>
      </c>
      <c r="E44">
        <v>143.80000000000001</v>
      </c>
      <c r="F44">
        <v>140</v>
      </c>
      <c r="G44">
        <v>142</v>
      </c>
      <c r="H44">
        <v>123.2</v>
      </c>
      <c r="I44">
        <v>152.9</v>
      </c>
      <c r="J44">
        <v>138</v>
      </c>
      <c r="K44">
        <v>129.30000000000001</v>
      </c>
      <c r="L44">
        <v>117.1</v>
      </c>
      <c r="M44">
        <v>136.30000000000001</v>
      </c>
      <c r="N44">
        <v>131.19999999999999</v>
      </c>
      <c r="O44">
        <v>152.80000000000001</v>
      </c>
      <c r="P44">
        <v>138.6</v>
      </c>
      <c r="Q44">
        <v>155.1</v>
      </c>
      <c r="R44">
        <v>149.19999999999999</v>
      </c>
      <c r="S44">
        <v>143</v>
      </c>
      <c r="T44">
        <v>148.30000000000001</v>
      </c>
      <c r="U44" t="s">
        <v>32</v>
      </c>
      <c r="V44">
        <v>142.6</v>
      </c>
      <c r="W44">
        <v>139.9</v>
      </c>
      <c r="X44">
        <v>136.69999999999999</v>
      </c>
      <c r="Y44">
        <v>124.6</v>
      </c>
      <c r="Z44">
        <v>135.1</v>
      </c>
      <c r="AA44">
        <v>142.69999999999999</v>
      </c>
      <c r="AB44">
        <v>129.30000000000001</v>
      </c>
      <c r="AC44">
        <v>133.30000000000001</v>
      </c>
      <c r="AD44">
        <v>138.69999999999999</v>
      </c>
    </row>
    <row r="45" spans="1:30" x14ac:dyDescent="0.25">
      <c r="A45" t="s">
        <v>30</v>
      </c>
      <c r="B45">
        <v>2018</v>
      </c>
      <c r="C45" t="s">
        <v>37</v>
      </c>
      <c r="D45">
        <v>137.1</v>
      </c>
      <c r="E45">
        <v>144.5</v>
      </c>
      <c r="F45">
        <v>135.9</v>
      </c>
      <c r="G45">
        <v>142.4</v>
      </c>
      <c r="H45">
        <v>123.5</v>
      </c>
      <c r="I45">
        <v>156.4</v>
      </c>
      <c r="J45">
        <v>135.1</v>
      </c>
      <c r="K45">
        <v>128.4</v>
      </c>
      <c r="L45">
        <v>115.2</v>
      </c>
      <c r="M45">
        <v>137.19999999999999</v>
      </c>
      <c r="N45">
        <v>131.9</v>
      </c>
      <c r="O45">
        <v>153.80000000000001</v>
      </c>
      <c r="P45">
        <v>138.6</v>
      </c>
      <c r="Q45">
        <v>156.1</v>
      </c>
      <c r="R45">
        <v>150.1</v>
      </c>
      <c r="S45">
        <v>143.30000000000001</v>
      </c>
      <c r="T45">
        <v>149.1</v>
      </c>
      <c r="U45" t="s">
        <v>32</v>
      </c>
      <c r="V45">
        <v>143.80000000000001</v>
      </c>
      <c r="W45">
        <v>140.9</v>
      </c>
      <c r="X45">
        <v>137.6</v>
      </c>
      <c r="Y45">
        <v>125.3</v>
      </c>
      <c r="Z45">
        <v>136</v>
      </c>
      <c r="AA45">
        <v>143.69999999999999</v>
      </c>
      <c r="AB45">
        <v>130.4</v>
      </c>
      <c r="AC45">
        <v>134.19999999999999</v>
      </c>
      <c r="AD45">
        <v>139.1</v>
      </c>
    </row>
    <row r="46" spans="1:30" x14ac:dyDescent="0.25">
      <c r="A46" t="s">
        <v>30</v>
      </c>
      <c r="B46">
        <v>2018</v>
      </c>
      <c r="C46" t="s">
        <v>38</v>
      </c>
      <c r="D46">
        <v>137.4</v>
      </c>
      <c r="E46">
        <v>145.69999999999999</v>
      </c>
      <c r="F46">
        <v>135.5</v>
      </c>
      <c r="G46">
        <v>142.9</v>
      </c>
      <c r="H46">
        <v>123.6</v>
      </c>
      <c r="I46">
        <v>157.5</v>
      </c>
      <c r="J46">
        <v>137.80000000000001</v>
      </c>
      <c r="K46">
        <v>127.2</v>
      </c>
      <c r="L46">
        <v>111.8</v>
      </c>
      <c r="M46">
        <v>137.4</v>
      </c>
      <c r="N46">
        <v>132.19999999999999</v>
      </c>
      <c r="O46">
        <v>154.30000000000001</v>
      </c>
      <c r="P46">
        <v>139.1</v>
      </c>
      <c r="Q46">
        <v>157</v>
      </c>
      <c r="R46">
        <v>150.80000000000001</v>
      </c>
      <c r="S46">
        <v>144.1</v>
      </c>
      <c r="T46">
        <v>149.80000000000001</v>
      </c>
      <c r="U46" t="s">
        <v>32</v>
      </c>
      <c r="V46">
        <v>144.30000000000001</v>
      </c>
      <c r="W46">
        <v>141.80000000000001</v>
      </c>
      <c r="X46">
        <v>138.4</v>
      </c>
      <c r="Y46">
        <v>126.4</v>
      </c>
      <c r="Z46">
        <v>136.80000000000001</v>
      </c>
      <c r="AA46">
        <v>144.4</v>
      </c>
      <c r="AB46">
        <v>131.19999999999999</v>
      </c>
      <c r="AC46">
        <v>135.1</v>
      </c>
      <c r="AD46">
        <v>139.80000000000001</v>
      </c>
    </row>
    <row r="47" spans="1:30" x14ac:dyDescent="0.25">
      <c r="A47" t="s">
        <v>30</v>
      </c>
      <c r="B47">
        <v>2018</v>
      </c>
      <c r="C47" t="s">
        <v>39</v>
      </c>
      <c r="D47">
        <v>137.6</v>
      </c>
      <c r="E47">
        <v>148.1</v>
      </c>
      <c r="F47">
        <v>136.69999999999999</v>
      </c>
      <c r="G47">
        <v>143.19999999999999</v>
      </c>
      <c r="H47">
        <v>124</v>
      </c>
      <c r="I47">
        <v>154.1</v>
      </c>
      <c r="J47">
        <v>143.5</v>
      </c>
      <c r="K47">
        <v>126</v>
      </c>
      <c r="L47">
        <v>112.4</v>
      </c>
      <c r="M47">
        <v>137.6</v>
      </c>
      <c r="N47">
        <v>132.80000000000001</v>
      </c>
      <c r="O47">
        <v>154.30000000000001</v>
      </c>
      <c r="P47">
        <v>140</v>
      </c>
      <c r="Q47">
        <v>157.30000000000001</v>
      </c>
      <c r="R47">
        <v>151.30000000000001</v>
      </c>
      <c r="S47">
        <v>144.69999999999999</v>
      </c>
      <c r="T47">
        <v>150.30000000000001</v>
      </c>
      <c r="U47" t="s">
        <v>32</v>
      </c>
      <c r="V47">
        <v>145.1</v>
      </c>
      <c r="W47">
        <v>142.19999999999999</v>
      </c>
      <c r="X47">
        <v>138.4</v>
      </c>
      <c r="Y47">
        <v>127.4</v>
      </c>
      <c r="Z47">
        <v>137.80000000000001</v>
      </c>
      <c r="AA47">
        <v>145.1</v>
      </c>
      <c r="AB47">
        <v>131.4</v>
      </c>
      <c r="AC47">
        <v>135.6</v>
      </c>
      <c r="AD47">
        <v>140.5</v>
      </c>
    </row>
    <row r="48" spans="1:30" x14ac:dyDescent="0.25">
      <c r="A48" t="s">
        <v>30</v>
      </c>
      <c r="B48">
        <v>2018</v>
      </c>
      <c r="C48" t="s">
        <v>40</v>
      </c>
      <c r="D48">
        <v>138.4</v>
      </c>
      <c r="E48">
        <v>149.30000000000001</v>
      </c>
      <c r="F48">
        <v>139.30000000000001</v>
      </c>
      <c r="G48">
        <v>143.4</v>
      </c>
      <c r="H48">
        <v>124.1</v>
      </c>
      <c r="I48">
        <v>153.30000000000001</v>
      </c>
      <c r="J48">
        <v>154.19999999999999</v>
      </c>
      <c r="K48">
        <v>126.4</v>
      </c>
      <c r="L48">
        <v>114.3</v>
      </c>
      <c r="M48">
        <v>138.19999999999999</v>
      </c>
      <c r="N48">
        <v>132.80000000000001</v>
      </c>
      <c r="O48">
        <v>154.80000000000001</v>
      </c>
      <c r="P48">
        <v>142</v>
      </c>
      <c r="Q48">
        <v>156.1</v>
      </c>
      <c r="R48">
        <v>151.5</v>
      </c>
      <c r="S48">
        <v>145.1</v>
      </c>
      <c r="T48">
        <v>150.6</v>
      </c>
      <c r="U48" t="s">
        <v>32</v>
      </c>
      <c r="V48">
        <v>146.80000000000001</v>
      </c>
      <c r="W48">
        <v>143.1</v>
      </c>
      <c r="X48">
        <v>139</v>
      </c>
      <c r="Y48">
        <v>127.5</v>
      </c>
      <c r="Z48">
        <v>138.4</v>
      </c>
      <c r="AA48">
        <v>145.80000000000001</v>
      </c>
      <c r="AB48">
        <v>131.4</v>
      </c>
      <c r="AC48">
        <v>136</v>
      </c>
      <c r="AD48">
        <v>141.80000000000001</v>
      </c>
    </row>
    <row r="49" spans="1:30" x14ac:dyDescent="0.25">
      <c r="A49" t="s">
        <v>30</v>
      </c>
      <c r="B49">
        <v>2018</v>
      </c>
      <c r="C49" t="s">
        <v>41</v>
      </c>
      <c r="D49">
        <v>139.19999999999999</v>
      </c>
      <c r="E49">
        <v>148.80000000000001</v>
      </c>
      <c r="F49">
        <v>139.1</v>
      </c>
      <c r="G49">
        <v>143.5</v>
      </c>
      <c r="H49">
        <v>125</v>
      </c>
      <c r="I49">
        <v>154.4</v>
      </c>
      <c r="J49">
        <v>156.30000000000001</v>
      </c>
      <c r="K49">
        <v>126.8</v>
      </c>
      <c r="L49">
        <v>115.4</v>
      </c>
      <c r="M49">
        <v>138.6</v>
      </c>
      <c r="N49">
        <v>133.80000000000001</v>
      </c>
      <c r="O49">
        <v>155.19999999999999</v>
      </c>
      <c r="P49">
        <v>142.69999999999999</v>
      </c>
      <c r="Q49">
        <v>156.4</v>
      </c>
      <c r="R49">
        <v>152.1</v>
      </c>
      <c r="S49">
        <v>145.80000000000001</v>
      </c>
      <c r="T49">
        <v>151.30000000000001</v>
      </c>
      <c r="U49" t="s">
        <v>32</v>
      </c>
      <c r="V49">
        <v>147.69999999999999</v>
      </c>
      <c r="W49">
        <v>143.80000000000001</v>
      </c>
      <c r="X49">
        <v>139.4</v>
      </c>
      <c r="Y49">
        <v>128.30000000000001</v>
      </c>
      <c r="Z49">
        <v>138.6</v>
      </c>
      <c r="AA49">
        <v>146.9</v>
      </c>
      <c r="AB49">
        <v>131.30000000000001</v>
      </c>
      <c r="AC49">
        <v>136.6</v>
      </c>
      <c r="AD49">
        <v>142.5</v>
      </c>
    </row>
    <row r="50" spans="1:30" x14ac:dyDescent="0.25">
      <c r="A50" t="s">
        <v>30</v>
      </c>
      <c r="B50">
        <v>2018</v>
      </c>
      <c r="C50" t="s">
        <v>42</v>
      </c>
      <c r="D50">
        <v>139.4</v>
      </c>
      <c r="E50">
        <v>147.19999999999999</v>
      </c>
      <c r="F50">
        <v>136.6</v>
      </c>
      <c r="G50">
        <v>143.69999999999999</v>
      </c>
      <c r="H50">
        <v>124.6</v>
      </c>
      <c r="I50">
        <v>150.1</v>
      </c>
      <c r="J50">
        <v>149.4</v>
      </c>
      <c r="K50">
        <v>125.4</v>
      </c>
      <c r="L50">
        <v>114.4</v>
      </c>
      <c r="M50">
        <v>138.69999999999999</v>
      </c>
      <c r="N50">
        <v>133.1</v>
      </c>
      <c r="O50">
        <v>155.9</v>
      </c>
      <c r="P50">
        <v>141.30000000000001</v>
      </c>
      <c r="Q50">
        <v>157.69999999999999</v>
      </c>
      <c r="R50">
        <v>152.1</v>
      </c>
      <c r="S50">
        <v>146.1</v>
      </c>
      <c r="T50">
        <v>151.30000000000001</v>
      </c>
      <c r="U50" t="s">
        <v>32</v>
      </c>
      <c r="V50">
        <v>149</v>
      </c>
      <c r="W50">
        <v>144</v>
      </c>
      <c r="X50">
        <v>140</v>
      </c>
      <c r="Y50">
        <v>129.9</v>
      </c>
      <c r="Z50">
        <v>140</v>
      </c>
      <c r="AA50">
        <v>147.6</v>
      </c>
      <c r="AB50">
        <v>132</v>
      </c>
      <c r="AC50">
        <v>137.4</v>
      </c>
      <c r="AD50">
        <v>142.1</v>
      </c>
    </row>
    <row r="51" spans="1:30" x14ac:dyDescent="0.25">
      <c r="A51" t="s">
        <v>30</v>
      </c>
      <c r="B51">
        <v>2018</v>
      </c>
      <c r="C51" t="s">
        <v>43</v>
      </c>
      <c r="D51">
        <v>139.30000000000001</v>
      </c>
      <c r="E51">
        <v>147.6</v>
      </c>
      <c r="F51">
        <v>134.6</v>
      </c>
      <c r="G51">
        <v>141.9</v>
      </c>
      <c r="H51">
        <v>123.5</v>
      </c>
      <c r="I51">
        <v>144.5</v>
      </c>
      <c r="J51">
        <v>147.6</v>
      </c>
      <c r="K51">
        <v>121.4</v>
      </c>
      <c r="L51">
        <v>112.3</v>
      </c>
      <c r="M51">
        <v>139.5</v>
      </c>
      <c r="N51">
        <v>134.6</v>
      </c>
      <c r="O51">
        <v>155.19999999999999</v>
      </c>
      <c r="P51">
        <v>140.19999999999999</v>
      </c>
      <c r="Q51">
        <v>159.6</v>
      </c>
      <c r="R51">
        <v>150.69999999999999</v>
      </c>
      <c r="S51">
        <v>144.5</v>
      </c>
      <c r="T51">
        <v>149.80000000000001</v>
      </c>
      <c r="U51" t="s">
        <v>32</v>
      </c>
      <c r="V51">
        <v>149.69999999999999</v>
      </c>
      <c r="W51">
        <v>147.5</v>
      </c>
      <c r="X51">
        <v>144.80000000000001</v>
      </c>
      <c r="Y51">
        <v>130.80000000000001</v>
      </c>
      <c r="Z51">
        <v>140.1</v>
      </c>
      <c r="AA51">
        <v>148</v>
      </c>
      <c r="AB51">
        <v>134.4</v>
      </c>
      <c r="AC51">
        <v>139.80000000000001</v>
      </c>
      <c r="AD51">
        <v>142.19999999999999</v>
      </c>
    </row>
    <row r="52" spans="1:30" x14ac:dyDescent="0.25">
      <c r="A52" t="s">
        <v>30</v>
      </c>
      <c r="B52">
        <v>2018</v>
      </c>
      <c r="C52" t="s">
        <v>45</v>
      </c>
      <c r="D52">
        <v>137.1</v>
      </c>
      <c r="E52">
        <v>150.80000000000001</v>
      </c>
      <c r="F52">
        <v>136.69999999999999</v>
      </c>
      <c r="G52">
        <v>141.9</v>
      </c>
      <c r="H52">
        <v>122.8</v>
      </c>
      <c r="I52">
        <v>143.9</v>
      </c>
      <c r="J52">
        <v>147.5</v>
      </c>
      <c r="K52">
        <v>121</v>
      </c>
      <c r="L52">
        <v>111.6</v>
      </c>
      <c r="M52">
        <v>140.6</v>
      </c>
      <c r="N52">
        <v>137.5</v>
      </c>
      <c r="O52">
        <v>156.1</v>
      </c>
      <c r="P52">
        <v>140</v>
      </c>
      <c r="Q52">
        <v>161.9</v>
      </c>
      <c r="R52">
        <v>151.69999999999999</v>
      </c>
      <c r="S52">
        <v>145.5</v>
      </c>
      <c r="T52">
        <v>150.80000000000001</v>
      </c>
      <c r="U52" t="s">
        <v>32</v>
      </c>
      <c r="V52">
        <v>150.30000000000001</v>
      </c>
      <c r="W52">
        <v>148</v>
      </c>
      <c r="X52">
        <v>145.4</v>
      </c>
      <c r="Y52">
        <v>130.30000000000001</v>
      </c>
      <c r="Z52">
        <v>143.1</v>
      </c>
      <c r="AA52">
        <v>150.19999999999999</v>
      </c>
      <c r="AB52">
        <v>133.1</v>
      </c>
      <c r="AC52">
        <v>140.1</v>
      </c>
      <c r="AD52">
        <v>142.4</v>
      </c>
    </row>
    <row r="53" spans="1:30" x14ac:dyDescent="0.25">
      <c r="A53" t="s">
        <v>30</v>
      </c>
      <c r="B53">
        <v>2018</v>
      </c>
      <c r="C53" t="s">
        <v>46</v>
      </c>
      <c r="D53">
        <v>137.1</v>
      </c>
      <c r="E53">
        <v>151.9</v>
      </c>
      <c r="F53">
        <v>137.4</v>
      </c>
      <c r="G53">
        <v>142.4</v>
      </c>
      <c r="H53">
        <v>124.2</v>
      </c>
      <c r="I53">
        <v>140.19999999999999</v>
      </c>
      <c r="J53">
        <v>136.6</v>
      </c>
      <c r="K53">
        <v>120.9</v>
      </c>
      <c r="L53">
        <v>109.9</v>
      </c>
      <c r="M53">
        <v>140.19999999999999</v>
      </c>
      <c r="N53">
        <v>137.80000000000001</v>
      </c>
      <c r="O53">
        <v>156</v>
      </c>
      <c r="P53">
        <v>138.5</v>
      </c>
      <c r="Q53">
        <v>162.4</v>
      </c>
      <c r="R53">
        <v>151.6</v>
      </c>
      <c r="S53">
        <v>145.9</v>
      </c>
      <c r="T53">
        <v>150.80000000000001</v>
      </c>
      <c r="U53" t="s">
        <v>32</v>
      </c>
      <c r="V53">
        <v>149</v>
      </c>
      <c r="W53">
        <v>149.5</v>
      </c>
      <c r="X53">
        <v>149.6</v>
      </c>
      <c r="Y53">
        <v>128.9</v>
      </c>
      <c r="Z53">
        <v>143.30000000000001</v>
      </c>
      <c r="AA53">
        <v>155.1</v>
      </c>
      <c r="AB53">
        <v>133.19999999999999</v>
      </c>
      <c r="AC53">
        <v>141.6</v>
      </c>
      <c r="AD53">
        <v>141.9</v>
      </c>
    </row>
    <row r="54" spans="1:30" x14ac:dyDescent="0.25">
      <c r="A54" t="s">
        <v>30</v>
      </c>
      <c r="B54">
        <v>2017</v>
      </c>
      <c r="C54" t="s">
        <v>31</v>
      </c>
      <c r="D54">
        <v>133.1</v>
      </c>
      <c r="E54">
        <v>137.80000000000001</v>
      </c>
      <c r="F54">
        <v>131.9</v>
      </c>
      <c r="G54">
        <v>136.69999999999999</v>
      </c>
      <c r="H54">
        <v>122</v>
      </c>
      <c r="I54">
        <v>136</v>
      </c>
      <c r="J54">
        <v>119.8</v>
      </c>
      <c r="K54">
        <v>161.69999999999999</v>
      </c>
      <c r="L54">
        <v>114.8</v>
      </c>
      <c r="M54">
        <v>136.9</v>
      </c>
      <c r="N54">
        <v>129</v>
      </c>
      <c r="O54">
        <v>143.9</v>
      </c>
      <c r="P54">
        <v>133.69999999999999</v>
      </c>
      <c r="Q54">
        <v>143.1</v>
      </c>
      <c r="R54">
        <v>140.69999999999999</v>
      </c>
      <c r="S54">
        <v>135.80000000000001</v>
      </c>
      <c r="T54">
        <v>140</v>
      </c>
      <c r="U54" t="s">
        <v>32</v>
      </c>
      <c r="V54">
        <v>132.1</v>
      </c>
      <c r="W54">
        <v>133.19999999999999</v>
      </c>
      <c r="X54">
        <v>129.9</v>
      </c>
      <c r="Y54">
        <v>119.1</v>
      </c>
      <c r="Z54">
        <v>127</v>
      </c>
      <c r="AA54">
        <v>134.6</v>
      </c>
      <c r="AB54">
        <v>122.3</v>
      </c>
      <c r="AC54">
        <v>126.6</v>
      </c>
      <c r="AD54">
        <v>132.4</v>
      </c>
    </row>
    <row r="55" spans="1:30" x14ac:dyDescent="0.25">
      <c r="A55" t="s">
        <v>30</v>
      </c>
      <c r="B55">
        <v>2017</v>
      </c>
      <c r="C55" t="s">
        <v>35</v>
      </c>
      <c r="D55">
        <v>133.30000000000001</v>
      </c>
      <c r="E55">
        <v>138.30000000000001</v>
      </c>
      <c r="F55">
        <v>129.30000000000001</v>
      </c>
      <c r="G55">
        <v>137.19999999999999</v>
      </c>
      <c r="H55">
        <v>122.1</v>
      </c>
      <c r="I55">
        <v>138.69999999999999</v>
      </c>
      <c r="J55">
        <v>119.1</v>
      </c>
      <c r="K55">
        <v>156.9</v>
      </c>
      <c r="L55">
        <v>116.2</v>
      </c>
      <c r="M55">
        <v>136</v>
      </c>
      <c r="N55">
        <v>129.4</v>
      </c>
      <c r="O55">
        <v>144.4</v>
      </c>
      <c r="P55">
        <v>133.6</v>
      </c>
      <c r="Q55">
        <v>143.69999999999999</v>
      </c>
      <c r="R55">
        <v>140.9</v>
      </c>
      <c r="S55">
        <v>135.80000000000001</v>
      </c>
      <c r="T55">
        <v>140.19999999999999</v>
      </c>
      <c r="U55" t="s">
        <v>32</v>
      </c>
      <c r="V55">
        <v>133.19999999999999</v>
      </c>
      <c r="W55">
        <v>133.6</v>
      </c>
      <c r="X55">
        <v>130.1</v>
      </c>
      <c r="Y55">
        <v>119.5</v>
      </c>
      <c r="Z55">
        <v>127.7</v>
      </c>
      <c r="AA55">
        <v>134.9</v>
      </c>
      <c r="AB55">
        <v>123.2</v>
      </c>
      <c r="AC55">
        <v>127</v>
      </c>
      <c r="AD55">
        <v>132.6</v>
      </c>
    </row>
    <row r="56" spans="1:30" x14ac:dyDescent="0.25">
      <c r="A56" t="s">
        <v>30</v>
      </c>
      <c r="B56">
        <v>2017</v>
      </c>
      <c r="C56" t="s">
        <v>36</v>
      </c>
      <c r="D56">
        <v>133.6</v>
      </c>
      <c r="E56">
        <v>138.80000000000001</v>
      </c>
      <c r="F56">
        <v>128.80000000000001</v>
      </c>
      <c r="G56">
        <v>137.19999999999999</v>
      </c>
      <c r="H56">
        <v>121.6</v>
      </c>
      <c r="I56">
        <v>139.69999999999999</v>
      </c>
      <c r="J56">
        <v>119.7</v>
      </c>
      <c r="K56">
        <v>148</v>
      </c>
      <c r="L56">
        <v>116.9</v>
      </c>
      <c r="M56">
        <v>135.6</v>
      </c>
      <c r="N56">
        <v>129.80000000000001</v>
      </c>
      <c r="O56">
        <v>145.4</v>
      </c>
      <c r="P56">
        <v>133.4</v>
      </c>
      <c r="Q56">
        <v>144.19999999999999</v>
      </c>
      <c r="R56">
        <v>141.6</v>
      </c>
      <c r="S56">
        <v>136.19999999999999</v>
      </c>
      <c r="T56">
        <v>140.80000000000001</v>
      </c>
      <c r="U56" t="s">
        <v>32</v>
      </c>
      <c r="V56">
        <v>134.19999999999999</v>
      </c>
      <c r="W56">
        <v>134.1</v>
      </c>
      <c r="X56">
        <v>130.6</v>
      </c>
      <c r="Y56">
        <v>119.8</v>
      </c>
      <c r="Z56">
        <v>128.30000000000001</v>
      </c>
      <c r="AA56">
        <v>135.19999999999999</v>
      </c>
      <c r="AB56">
        <v>123.3</v>
      </c>
      <c r="AC56">
        <v>127.4</v>
      </c>
      <c r="AD56">
        <v>132.80000000000001</v>
      </c>
    </row>
    <row r="57" spans="1:30" x14ac:dyDescent="0.25">
      <c r="A57" t="s">
        <v>30</v>
      </c>
      <c r="B57">
        <v>2017</v>
      </c>
      <c r="C57" t="s">
        <v>37</v>
      </c>
      <c r="D57">
        <v>133.19999999999999</v>
      </c>
      <c r="E57">
        <v>138.69999999999999</v>
      </c>
      <c r="F57">
        <v>127.1</v>
      </c>
      <c r="G57">
        <v>137.69999999999999</v>
      </c>
      <c r="H57">
        <v>121.3</v>
      </c>
      <c r="I57">
        <v>141.80000000000001</v>
      </c>
      <c r="J57">
        <v>121.5</v>
      </c>
      <c r="K57">
        <v>144.5</v>
      </c>
      <c r="L57">
        <v>117.4</v>
      </c>
      <c r="M57">
        <v>134.1</v>
      </c>
      <c r="N57">
        <v>130</v>
      </c>
      <c r="O57">
        <v>145.5</v>
      </c>
      <c r="P57">
        <v>133.5</v>
      </c>
      <c r="Q57">
        <v>144.4</v>
      </c>
      <c r="R57">
        <v>142.4</v>
      </c>
      <c r="S57">
        <v>136.80000000000001</v>
      </c>
      <c r="T57">
        <v>141.6</v>
      </c>
      <c r="U57" t="s">
        <v>32</v>
      </c>
      <c r="V57">
        <v>135</v>
      </c>
      <c r="W57">
        <v>134.30000000000001</v>
      </c>
      <c r="X57">
        <v>131</v>
      </c>
      <c r="Y57">
        <v>119.2</v>
      </c>
      <c r="Z57">
        <v>128.30000000000001</v>
      </c>
      <c r="AA57">
        <v>135.69999999999999</v>
      </c>
      <c r="AB57">
        <v>123.7</v>
      </c>
      <c r="AC57">
        <v>127.5</v>
      </c>
      <c r="AD57">
        <v>132.9</v>
      </c>
    </row>
    <row r="58" spans="1:30" x14ac:dyDescent="0.25">
      <c r="A58" t="s">
        <v>30</v>
      </c>
      <c r="B58">
        <v>2017</v>
      </c>
      <c r="C58" t="s">
        <v>38</v>
      </c>
      <c r="D58">
        <v>133.1</v>
      </c>
      <c r="E58">
        <v>140.30000000000001</v>
      </c>
      <c r="F58">
        <v>126.8</v>
      </c>
      <c r="G58">
        <v>138.19999999999999</v>
      </c>
      <c r="H58">
        <v>120.8</v>
      </c>
      <c r="I58">
        <v>140.19999999999999</v>
      </c>
      <c r="J58">
        <v>123.8</v>
      </c>
      <c r="K58">
        <v>141.80000000000001</v>
      </c>
      <c r="L58">
        <v>118.6</v>
      </c>
      <c r="M58">
        <v>134</v>
      </c>
      <c r="N58">
        <v>130.30000000000001</v>
      </c>
      <c r="O58">
        <v>145.80000000000001</v>
      </c>
      <c r="P58">
        <v>133.80000000000001</v>
      </c>
      <c r="Q58">
        <v>145.5</v>
      </c>
      <c r="R58">
        <v>142.5</v>
      </c>
      <c r="S58">
        <v>137.30000000000001</v>
      </c>
      <c r="T58">
        <v>141.80000000000001</v>
      </c>
      <c r="U58" t="s">
        <v>32</v>
      </c>
      <c r="V58">
        <v>135</v>
      </c>
      <c r="W58">
        <v>134.9</v>
      </c>
      <c r="X58">
        <v>131.4</v>
      </c>
      <c r="Y58">
        <v>119.4</v>
      </c>
      <c r="Z58">
        <v>129.4</v>
      </c>
      <c r="AA58">
        <v>136.30000000000001</v>
      </c>
      <c r="AB58">
        <v>123.7</v>
      </c>
      <c r="AC58">
        <v>127.9</v>
      </c>
      <c r="AD58">
        <v>133.30000000000001</v>
      </c>
    </row>
    <row r="59" spans="1:30" x14ac:dyDescent="0.25">
      <c r="A59" t="s">
        <v>30</v>
      </c>
      <c r="B59">
        <v>2017</v>
      </c>
      <c r="C59" t="s">
        <v>39</v>
      </c>
      <c r="D59">
        <v>133.5</v>
      </c>
      <c r="E59">
        <v>143.69999999999999</v>
      </c>
      <c r="F59">
        <v>128</v>
      </c>
      <c r="G59">
        <v>138.6</v>
      </c>
      <c r="H59">
        <v>120.9</v>
      </c>
      <c r="I59">
        <v>140.9</v>
      </c>
      <c r="J59">
        <v>128.80000000000001</v>
      </c>
      <c r="K59">
        <v>140.19999999999999</v>
      </c>
      <c r="L59">
        <v>118.9</v>
      </c>
      <c r="M59">
        <v>133.5</v>
      </c>
      <c r="N59">
        <v>130.4</v>
      </c>
      <c r="O59">
        <v>146.5</v>
      </c>
      <c r="P59">
        <v>134.9</v>
      </c>
      <c r="Q59">
        <v>145.80000000000001</v>
      </c>
      <c r="R59">
        <v>143.1</v>
      </c>
      <c r="S59">
        <v>137.69999999999999</v>
      </c>
      <c r="T59">
        <v>142.30000000000001</v>
      </c>
      <c r="U59" t="s">
        <v>32</v>
      </c>
      <c r="V59">
        <v>134.80000000000001</v>
      </c>
      <c r="W59">
        <v>135.19999999999999</v>
      </c>
      <c r="X59">
        <v>131.30000000000001</v>
      </c>
      <c r="Y59">
        <v>119.4</v>
      </c>
      <c r="Z59">
        <v>129.80000000000001</v>
      </c>
      <c r="AA59">
        <v>136.9</v>
      </c>
      <c r="AB59">
        <v>124.1</v>
      </c>
      <c r="AC59">
        <v>128.1</v>
      </c>
      <c r="AD59">
        <v>133.9</v>
      </c>
    </row>
    <row r="60" spans="1:30" x14ac:dyDescent="0.25">
      <c r="A60" t="s">
        <v>30</v>
      </c>
      <c r="B60">
        <v>2017</v>
      </c>
      <c r="C60" t="s">
        <v>40</v>
      </c>
      <c r="D60">
        <v>134</v>
      </c>
      <c r="E60">
        <v>144.19999999999999</v>
      </c>
      <c r="F60">
        <v>129.80000000000001</v>
      </c>
      <c r="G60">
        <v>139</v>
      </c>
      <c r="H60">
        <v>120.9</v>
      </c>
      <c r="I60">
        <v>143.9</v>
      </c>
      <c r="J60">
        <v>151.5</v>
      </c>
      <c r="K60">
        <v>138.1</v>
      </c>
      <c r="L60">
        <v>120</v>
      </c>
      <c r="M60">
        <v>133.9</v>
      </c>
      <c r="N60">
        <v>131.4</v>
      </c>
      <c r="O60">
        <v>147.69999999999999</v>
      </c>
      <c r="P60">
        <v>138.5</v>
      </c>
      <c r="Q60">
        <v>147.4</v>
      </c>
      <c r="R60">
        <v>144.30000000000001</v>
      </c>
      <c r="S60">
        <v>138.1</v>
      </c>
      <c r="T60">
        <v>143.5</v>
      </c>
      <c r="U60" t="s">
        <v>32</v>
      </c>
      <c r="V60">
        <v>135.30000000000001</v>
      </c>
      <c r="W60">
        <v>136.1</v>
      </c>
      <c r="X60">
        <v>132.1</v>
      </c>
      <c r="Y60">
        <v>119.1</v>
      </c>
      <c r="Z60">
        <v>130.6</v>
      </c>
      <c r="AA60">
        <v>138.6</v>
      </c>
      <c r="AB60">
        <v>124.4</v>
      </c>
      <c r="AC60">
        <v>128.6</v>
      </c>
      <c r="AD60">
        <v>136.19999999999999</v>
      </c>
    </row>
    <row r="61" spans="1:30" x14ac:dyDescent="0.25">
      <c r="A61" t="s">
        <v>30</v>
      </c>
      <c r="B61">
        <v>2017</v>
      </c>
      <c r="C61" t="s">
        <v>41</v>
      </c>
      <c r="D61">
        <v>134.80000000000001</v>
      </c>
      <c r="E61">
        <v>143.1</v>
      </c>
      <c r="F61">
        <v>130</v>
      </c>
      <c r="G61">
        <v>139.4</v>
      </c>
      <c r="H61">
        <v>120.5</v>
      </c>
      <c r="I61">
        <v>148</v>
      </c>
      <c r="J61">
        <v>162.9</v>
      </c>
      <c r="K61">
        <v>137.4</v>
      </c>
      <c r="L61">
        <v>120.8</v>
      </c>
      <c r="M61">
        <v>134.69999999999999</v>
      </c>
      <c r="N61">
        <v>131.6</v>
      </c>
      <c r="O61">
        <v>148.69999999999999</v>
      </c>
      <c r="P61">
        <v>140.6</v>
      </c>
      <c r="Q61">
        <v>149</v>
      </c>
      <c r="R61">
        <v>145.30000000000001</v>
      </c>
      <c r="S61">
        <v>139.19999999999999</v>
      </c>
      <c r="T61">
        <v>144.5</v>
      </c>
      <c r="U61" t="s">
        <v>32</v>
      </c>
      <c r="V61">
        <v>136.4</v>
      </c>
      <c r="W61">
        <v>137.30000000000001</v>
      </c>
      <c r="X61">
        <v>133</v>
      </c>
      <c r="Y61">
        <v>120.3</v>
      </c>
      <c r="Z61">
        <v>131.5</v>
      </c>
      <c r="AA61">
        <v>140.19999999999999</v>
      </c>
      <c r="AB61">
        <v>125.4</v>
      </c>
      <c r="AC61">
        <v>129.69999999999999</v>
      </c>
      <c r="AD61">
        <v>137.80000000000001</v>
      </c>
    </row>
    <row r="62" spans="1:30" x14ac:dyDescent="0.25">
      <c r="A62" t="s">
        <v>30</v>
      </c>
      <c r="B62">
        <v>2017</v>
      </c>
      <c r="C62" t="s">
        <v>42</v>
      </c>
      <c r="D62">
        <v>135.19999999999999</v>
      </c>
      <c r="E62">
        <v>142</v>
      </c>
      <c r="F62">
        <v>130.5</v>
      </c>
      <c r="G62">
        <v>140.19999999999999</v>
      </c>
      <c r="H62">
        <v>120.7</v>
      </c>
      <c r="I62">
        <v>147.80000000000001</v>
      </c>
      <c r="J62">
        <v>154.5</v>
      </c>
      <c r="K62">
        <v>137.1</v>
      </c>
      <c r="L62">
        <v>121</v>
      </c>
      <c r="M62">
        <v>134.69999999999999</v>
      </c>
      <c r="N62">
        <v>131.69999999999999</v>
      </c>
      <c r="O62">
        <v>149.30000000000001</v>
      </c>
      <c r="P62">
        <v>139.6</v>
      </c>
      <c r="Q62">
        <v>149.80000000000001</v>
      </c>
      <c r="R62">
        <v>146.1</v>
      </c>
      <c r="S62">
        <v>139.69999999999999</v>
      </c>
      <c r="T62">
        <v>145.19999999999999</v>
      </c>
      <c r="U62" t="s">
        <v>32</v>
      </c>
      <c r="V62">
        <v>137.4</v>
      </c>
      <c r="W62">
        <v>137.9</v>
      </c>
      <c r="X62">
        <v>133.4</v>
      </c>
      <c r="Y62">
        <v>121.2</v>
      </c>
      <c r="Z62">
        <v>132.30000000000001</v>
      </c>
      <c r="AA62">
        <v>139.6</v>
      </c>
      <c r="AB62">
        <v>126.7</v>
      </c>
      <c r="AC62">
        <v>130.30000000000001</v>
      </c>
      <c r="AD62">
        <v>137.6</v>
      </c>
    </row>
    <row r="63" spans="1:30" x14ac:dyDescent="0.25">
      <c r="A63" t="s">
        <v>30</v>
      </c>
      <c r="B63">
        <v>2017</v>
      </c>
      <c r="C63" t="s">
        <v>43</v>
      </c>
      <c r="D63">
        <v>135.9</v>
      </c>
      <c r="E63">
        <v>141.9</v>
      </c>
      <c r="F63">
        <v>131</v>
      </c>
      <c r="G63">
        <v>141.5</v>
      </c>
      <c r="H63">
        <v>121.4</v>
      </c>
      <c r="I63">
        <v>146.69999999999999</v>
      </c>
      <c r="J63">
        <v>157.1</v>
      </c>
      <c r="K63">
        <v>136.4</v>
      </c>
      <c r="L63">
        <v>121.4</v>
      </c>
      <c r="M63">
        <v>135.6</v>
      </c>
      <c r="N63">
        <v>131.30000000000001</v>
      </c>
      <c r="O63">
        <v>150.30000000000001</v>
      </c>
      <c r="P63">
        <v>140.4</v>
      </c>
      <c r="Q63">
        <v>150.5</v>
      </c>
      <c r="R63">
        <v>147.19999999999999</v>
      </c>
      <c r="S63">
        <v>140.6</v>
      </c>
      <c r="T63">
        <v>146.19999999999999</v>
      </c>
      <c r="U63" t="s">
        <v>32</v>
      </c>
      <c r="V63">
        <v>138.1</v>
      </c>
      <c r="W63">
        <v>138.4</v>
      </c>
      <c r="X63">
        <v>134.19999999999999</v>
      </c>
      <c r="Y63">
        <v>121</v>
      </c>
      <c r="Z63">
        <v>133</v>
      </c>
      <c r="AA63">
        <v>140.1</v>
      </c>
      <c r="AB63">
        <v>127.4</v>
      </c>
      <c r="AC63">
        <v>130.69999999999999</v>
      </c>
      <c r="AD63">
        <v>138.30000000000001</v>
      </c>
    </row>
    <row r="64" spans="1:30" x14ac:dyDescent="0.25">
      <c r="A64" t="s">
        <v>30</v>
      </c>
      <c r="B64">
        <v>2017</v>
      </c>
      <c r="C64" t="s">
        <v>45</v>
      </c>
      <c r="D64">
        <v>136.30000000000001</v>
      </c>
      <c r="E64">
        <v>142.5</v>
      </c>
      <c r="F64">
        <v>140.5</v>
      </c>
      <c r="G64">
        <v>141.5</v>
      </c>
      <c r="H64">
        <v>121.6</v>
      </c>
      <c r="I64">
        <v>147.30000000000001</v>
      </c>
      <c r="J64">
        <v>168</v>
      </c>
      <c r="K64">
        <v>135.80000000000001</v>
      </c>
      <c r="L64">
        <v>122.5</v>
      </c>
      <c r="M64">
        <v>136</v>
      </c>
      <c r="N64">
        <v>131.9</v>
      </c>
      <c r="O64">
        <v>151.4</v>
      </c>
      <c r="P64">
        <v>142.4</v>
      </c>
      <c r="Q64">
        <v>152.1</v>
      </c>
      <c r="R64">
        <v>148.19999999999999</v>
      </c>
      <c r="S64">
        <v>141.5</v>
      </c>
      <c r="T64">
        <v>147.30000000000001</v>
      </c>
      <c r="U64" t="s">
        <v>32</v>
      </c>
      <c r="V64">
        <v>141.1</v>
      </c>
      <c r="W64">
        <v>139.4</v>
      </c>
      <c r="X64">
        <v>135.80000000000001</v>
      </c>
      <c r="Y64">
        <v>121.6</v>
      </c>
      <c r="Z64">
        <v>133.69999999999999</v>
      </c>
      <c r="AA64">
        <v>141.5</v>
      </c>
      <c r="AB64">
        <v>128.1</v>
      </c>
      <c r="AC64">
        <v>131.69999999999999</v>
      </c>
      <c r="AD64">
        <v>140</v>
      </c>
    </row>
    <row r="65" spans="1:30" x14ac:dyDescent="0.25">
      <c r="A65" t="s">
        <v>30</v>
      </c>
      <c r="B65">
        <v>2017</v>
      </c>
      <c r="C65" t="s">
        <v>46</v>
      </c>
      <c r="D65">
        <v>136.4</v>
      </c>
      <c r="E65">
        <v>143.69999999999999</v>
      </c>
      <c r="F65">
        <v>144.80000000000001</v>
      </c>
      <c r="G65">
        <v>141.9</v>
      </c>
      <c r="H65">
        <v>123.1</v>
      </c>
      <c r="I65">
        <v>147.19999999999999</v>
      </c>
      <c r="J65">
        <v>161</v>
      </c>
      <c r="K65">
        <v>133.80000000000001</v>
      </c>
      <c r="L65">
        <v>121.9</v>
      </c>
      <c r="M65">
        <v>135.80000000000001</v>
      </c>
      <c r="N65">
        <v>131.1</v>
      </c>
      <c r="O65">
        <v>151.4</v>
      </c>
      <c r="P65">
        <v>141.5</v>
      </c>
      <c r="Q65">
        <v>153.19999999999999</v>
      </c>
      <c r="R65">
        <v>148</v>
      </c>
      <c r="S65">
        <v>141.9</v>
      </c>
      <c r="T65">
        <v>147.19999999999999</v>
      </c>
      <c r="U65" t="s">
        <v>32</v>
      </c>
      <c r="V65">
        <v>142.6</v>
      </c>
      <c r="W65">
        <v>139.5</v>
      </c>
      <c r="X65">
        <v>136.1</v>
      </c>
      <c r="Y65">
        <v>122</v>
      </c>
      <c r="Z65">
        <v>133.4</v>
      </c>
      <c r="AA65">
        <v>141.1</v>
      </c>
      <c r="AB65">
        <v>127.8</v>
      </c>
      <c r="AC65">
        <v>131.9</v>
      </c>
      <c r="AD65">
        <v>139.80000000000001</v>
      </c>
    </row>
    <row r="66" spans="1:30" x14ac:dyDescent="0.25">
      <c r="A66" t="s">
        <v>30</v>
      </c>
      <c r="B66">
        <v>2016</v>
      </c>
      <c r="C66" t="s">
        <v>31</v>
      </c>
      <c r="D66">
        <v>126.8</v>
      </c>
      <c r="E66">
        <v>133.19999999999999</v>
      </c>
      <c r="F66">
        <v>126.5</v>
      </c>
      <c r="G66">
        <v>130.30000000000001</v>
      </c>
      <c r="H66">
        <v>118.9</v>
      </c>
      <c r="I66">
        <v>131.6</v>
      </c>
      <c r="J66">
        <v>140.1</v>
      </c>
      <c r="K66">
        <v>163.80000000000001</v>
      </c>
      <c r="L66">
        <v>97.7</v>
      </c>
      <c r="M66">
        <v>129.6</v>
      </c>
      <c r="N66">
        <v>124.3</v>
      </c>
      <c r="O66">
        <v>135.9</v>
      </c>
      <c r="P66">
        <v>131.4</v>
      </c>
      <c r="Q66">
        <v>133.6</v>
      </c>
      <c r="R66">
        <v>133.19999999999999</v>
      </c>
      <c r="S66">
        <v>128.9</v>
      </c>
      <c r="T66">
        <v>132.6</v>
      </c>
      <c r="U66" t="s">
        <v>32</v>
      </c>
      <c r="V66">
        <v>126.2</v>
      </c>
      <c r="W66">
        <v>126.6</v>
      </c>
      <c r="X66">
        <v>123.7</v>
      </c>
      <c r="Y66">
        <v>113.6</v>
      </c>
      <c r="Z66">
        <v>121.4</v>
      </c>
      <c r="AA66">
        <v>126.2</v>
      </c>
      <c r="AB66">
        <v>114.9</v>
      </c>
      <c r="AC66">
        <v>120.1</v>
      </c>
      <c r="AD66">
        <v>128.1</v>
      </c>
    </row>
    <row r="67" spans="1:30" x14ac:dyDescent="0.25">
      <c r="A67" t="s">
        <v>30</v>
      </c>
      <c r="B67">
        <v>2016</v>
      </c>
      <c r="C67" t="s">
        <v>35</v>
      </c>
      <c r="D67">
        <v>127.1</v>
      </c>
      <c r="E67">
        <v>133.69999999999999</v>
      </c>
      <c r="F67">
        <v>127.7</v>
      </c>
      <c r="G67">
        <v>130.69999999999999</v>
      </c>
      <c r="H67">
        <v>118.5</v>
      </c>
      <c r="I67">
        <v>130.4</v>
      </c>
      <c r="J67">
        <v>130.9</v>
      </c>
      <c r="K67">
        <v>162.80000000000001</v>
      </c>
      <c r="L67">
        <v>98.7</v>
      </c>
      <c r="M67">
        <v>130.6</v>
      </c>
      <c r="N67">
        <v>124.8</v>
      </c>
      <c r="O67">
        <v>136.4</v>
      </c>
      <c r="P67">
        <v>130.30000000000001</v>
      </c>
      <c r="Q67">
        <v>134.4</v>
      </c>
      <c r="R67">
        <v>133.9</v>
      </c>
      <c r="S67">
        <v>129.80000000000001</v>
      </c>
      <c r="T67">
        <v>133.4</v>
      </c>
      <c r="U67" t="s">
        <v>32</v>
      </c>
      <c r="V67">
        <v>127.5</v>
      </c>
      <c r="W67">
        <v>127.1</v>
      </c>
      <c r="X67">
        <v>124.3</v>
      </c>
      <c r="Y67">
        <v>113.9</v>
      </c>
      <c r="Z67">
        <v>122.3</v>
      </c>
      <c r="AA67">
        <v>127.1</v>
      </c>
      <c r="AB67">
        <v>116.8</v>
      </c>
      <c r="AC67">
        <v>120.9</v>
      </c>
      <c r="AD67">
        <v>127.9</v>
      </c>
    </row>
    <row r="68" spans="1:30" x14ac:dyDescent="0.25">
      <c r="A68" t="s">
        <v>30</v>
      </c>
      <c r="B68">
        <v>2016</v>
      </c>
      <c r="C68" t="s">
        <v>36</v>
      </c>
      <c r="D68">
        <v>127.3</v>
      </c>
      <c r="E68">
        <v>134.4</v>
      </c>
      <c r="F68">
        <v>125.1</v>
      </c>
      <c r="G68">
        <v>130.5</v>
      </c>
      <c r="H68">
        <v>118.3</v>
      </c>
      <c r="I68">
        <v>131.69999999999999</v>
      </c>
      <c r="J68">
        <v>130.69999999999999</v>
      </c>
      <c r="K68">
        <v>161.19999999999999</v>
      </c>
      <c r="L68">
        <v>100.4</v>
      </c>
      <c r="M68">
        <v>130.80000000000001</v>
      </c>
      <c r="N68">
        <v>124.9</v>
      </c>
      <c r="O68">
        <v>137</v>
      </c>
      <c r="P68">
        <v>130.4</v>
      </c>
      <c r="Q68">
        <v>135</v>
      </c>
      <c r="R68">
        <v>134.4</v>
      </c>
      <c r="S68">
        <v>130.19999999999999</v>
      </c>
      <c r="T68">
        <v>133.80000000000001</v>
      </c>
      <c r="U68" t="s">
        <v>32</v>
      </c>
      <c r="V68">
        <v>127</v>
      </c>
      <c r="W68">
        <v>127.7</v>
      </c>
      <c r="X68">
        <v>124.8</v>
      </c>
      <c r="Y68">
        <v>113.6</v>
      </c>
      <c r="Z68">
        <v>122.5</v>
      </c>
      <c r="AA68">
        <v>127.5</v>
      </c>
      <c r="AB68">
        <v>117.4</v>
      </c>
      <c r="AC68">
        <v>121.1</v>
      </c>
      <c r="AD68">
        <v>128</v>
      </c>
    </row>
    <row r="69" spans="1:30" x14ac:dyDescent="0.25">
      <c r="A69" t="s">
        <v>30</v>
      </c>
      <c r="B69">
        <v>2016</v>
      </c>
      <c r="C69" t="s">
        <v>37</v>
      </c>
      <c r="D69">
        <v>127.4</v>
      </c>
      <c r="E69">
        <v>135.4</v>
      </c>
      <c r="F69">
        <v>123.4</v>
      </c>
      <c r="G69">
        <v>131.30000000000001</v>
      </c>
      <c r="H69">
        <v>118.2</v>
      </c>
      <c r="I69">
        <v>138.1</v>
      </c>
      <c r="J69">
        <v>134.1</v>
      </c>
      <c r="K69">
        <v>162.69999999999999</v>
      </c>
      <c r="L69">
        <v>105</v>
      </c>
      <c r="M69">
        <v>131.4</v>
      </c>
      <c r="N69">
        <v>125.4</v>
      </c>
      <c r="O69">
        <v>137.4</v>
      </c>
      <c r="P69">
        <v>131.80000000000001</v>
      </c>
      <c r="Q69">
        <v>135.5</v>
      </c>
      <c r="R69">
        <v>135</v>
      </c>
      <c r="S69">
        <v>130.6</v>
      </c>
      <c r="T69">
        <v>134.4</v>
      </c>
      <c r="U69" t="s">
        <v>32</v>
      </c>
      <c r="V69">
        <v>127</v>
      </c>
      <c r="W69">
        <v>128</v>
      </c>
      <c r="X69">
        <v>125.2</v>
      </c>
      <c r="Y69">
        <v>114.4</v>
      </c>
      <c r="Z69">
        <v>123.2</v>
      </c>
      <c r="AA69">
        <v>127.9</v>
      </c>
      <c r="AB69">
        <v>118.4</v>
      </c>
      <c r="AC69">
        <v>121.7</v>
      </c>
      <c r="AD69">
        <v>129</v>
      </c>
    </row>
    <row r="70" spans="1:30" x14ac:dyDescent="0.25">
      <c r="A70" t="s">
        <v>30</v>
      </c>
      <c r="B70">
        <v>2016</v>
      </c>
      <c r="C70" t="s">
        <v>38</v>
      </c>
      <c r="D70">
        <v>127.6</v>
      </c>
      <c r="E70">
        <v>137.5</v>
      </c>
      <c r="F70">
        <v>124.4</v>
      </c>
      <c r="G70">
        <v>132.4</v>
      </c>
      <c r="H70">
        <v>118.2</v>
      </c>
      <c r="I70">
        <v>138.1</v>
      </c>
      <c r="J70">
        <v>141.80000000000001</v>
      </c>
      <c r="K70">
        <v>166</v>
      </c>
      <c r="L70">
        <v>107.5</v>
      </c>
      <c r="M70">
        <v>132.19999999999999</v>
      </c>
      <c r="N70">
        <v>126.1</v>
      </c>
      <c r="O70">
        <v>138.30000000000001</v>
      </c>
      <c r="P70">
        <v>133.6</v>
      </c>
      <c r="Q70">
        <v>136</v>
      </c>
      <c r="R70">
        <v>135.4</v>
      </c>
      <c r="S70">
        <v>131.1</v>
      </c>
      <c r="T70">
        <v>134.80000000000001</v>
      </c>
      <c r="U70" t="s">
        <v>32</v>
      </c>
      <c r="V70">
        <v>127.4</v>
      </c>
      <c r="W70">
        <v>128.5</v>
      </c>
      <c r="X70">
        <v>125.8</v>
      </c>
      <c r="Y70">
        <v>115.1</v>
      </c>
      <c r="Z70">
        <v>123.6</v>
      </c>
      <c r="AA70">
        <v>129.1</v>
      </c>
      <c r="AB70">
        <v>119.7</v>
      </c>
      <c r="AC70">
        <v>122.5</v>
      </c>
      <c r="AD70">
        <v>130.30000000000001</v>
      </c>
    </row>
    <row r="71" spans="1:30" x14ac:dyDescent="0.25">
      <c r="A71" t="s">
        <v>30</v>
      </c>
      <c r="B71">
        <v>2016</v>
      </c>
      <c r="C71" t="s">
        <v>39</v>
      </c>
      <c r="D71">
        <v>128.6</v>
      </c>
      <c r="E71">
        <v>138.6</v>
      </c>
      <c r="F71">
        <v>126.6</v>
      </c>
      <c r="G71">
        <v>133.6</v>
      </c>
      <c r="H71">
        <v>118.6</v>
      </c>
      <c r="I71">
        <v>137.4</v>
      </c>
      <c r="J71">
        <v>152.5</v>
      </c>
      <c r="K71">
        <v>169.2</v>
      </c>
      <c r="L71">
        <v>108.8</v>
      </c>
      <c r="M71">
        <v>133.1</v>
      </c>
      <c r="N71">
        <v>126.4</v>
      </c>
      <c r="O71">
        <v>139.19999999999999</v>
      </c>
      <c r="P71">
        <v>136</v>
      </c>
      <c r="Q71">
        <v>137.19999999999999</v>
      </c>
      <c r="R71">
        <v>136.30000000000001</v>
      </c>
      <c r="S71">
        <v>131.6</v>
      </c>
      <c r="T71">
        <v>135.6</v>
      </c>
      <c r="U71" t="s">
        <v>32</v>
      </c>
      <c r="V71">
        <v>128</v>
      </c>
      <c r="W71">
        <v>129.30000000000001</v>
      </c>
      <c r="X71">
        <v>126.2</v>
      </c>
      <c r="Y71">
        <v>116.3</v>
      </c>
      <c r="Z71">
        <v>124.1</v>
      </c>
      <c r="AA71">
        <v>130.19999999999999</v>
      </c>
      <c r="AB71">
        <v>119.9</v>
      </c>
      <c r="AC71">
        <v>123.3</v>
      </c>
      <c r="AD71">
        <v>131.9</v>
      </c>
    </row>
    <row r="72" spans="1:30" x14ac:dyDescent="0.25">
      <c r="A72" t="s">
        <v>30</v>
      </c>
      <c r="B72">
        <v>2016</v>
      </c>
      <c r="C72" t="s">
        <v>40</v>
      </c>
      <c r="D72">
        <v>129.30000000000001</v>
      </c>
      <c r="E72">
        <v>139.5</v>
      </c>
      <c r="F72">
        <v>129.6</v>
      </c>
      <c r="G72">
        <v>134.5</v>
      </c>
      <c r="H72">
        <v>119.5</v>
      </c>
      <c r="I72">
        <v>138.5</v>
      </c>
      <c r="J72">
        <v>158.19999999999999</v>
      </c>
      <c r="K72">
        <v>171.8</v>
      </c>
      <c r="L72">
        <v>110.3</v>
      </c>
      <c r="M72">
        <v>134.30000000000001</v>
      </c>
      <c r="N72">
        <v>127.3</v>
      </c>
      <c r="O72">
        <v>139.9</v>
      </c>
      <c r="P72">
        <v>137.6</v>
      </c>
      <c r="Q72">
        <v>138</v>
      </c>
      <c r="R72">
        <v>137.19999999999999</v>
      </c>
      <c r="S72">
        <v>132.19999999999999</v>
      </c>
      <c r="T72">
        <v>136.5</v>
      </c>
      <c r="U72" t="s">
        <v>32</v>
      </c>
      <c r="V72">
        <v>128.19999999999999</v>
      </c>
      <c r="W72">
        <v>130</v>
      </c>
      <c r="X72">
        <v>126.7</v>
      </c>
      <c r="Y72">
        <v>116.4</v>
      </c>
      <c r="Z72">
        <v>125.2</v>
      </c>
      <c r="AA72">
        <v>130.80000000000001</v>
      </c>
      <c r="AB72">
        <v>120.9</v>
      </c>
      <c r="AC72">
        <v>123.8</v>
      </c>
      <c r="AD72">
        <v>133</v>
      </c>
    </row>
    <row r="73" spans="1:30" x14ac:dyDescent="0.25">
      <c r="A73" t="s">
        <v>30</v>
      </c>
      <c r="B73">
        <v>2016</v>
      </c>
      <c r="C73" t="s">
        <v>41</v>
      </c>
      <c r="D73">
        <v>130.1</v>
      </c>
      <c r="E73">
        <v>138.80000000000001</v>
      </c>
      <c r="F73">
        <v>130.30000000000001</v>
      </c>
      <c r="G73">
        <v>135.30000000000001</v>
      </c>
      <c r="H73">
        <v>119.9</v>
      </c>
      <c r="I73">
        <v>140.19999999999999</v>
      </c>
      <c r="J73">
        <v>156.9</v>
      </c>
      <c r="K73">
        <v>172.2</v>
      </c>
      <c r="L73">
        <v>112.1</v>
      </c>
      <c r="M73">
        <v>134.9</v>
      </c>
      <c r="N73">
        <v>128.1</v>
      </c>
      <c r="O73">
        <v>140.69999999999999</v>
      </c>
      <c r="P73">
        <v>138</v>
      </c>
      <c r="Q73">
        <v>138.9</v>
      </c>
      <c r="R73">
        <v>137.80000000000001</v>
      </c>
      <c r="S73">
        <v>133</v>
      </c>
      <c r="T73">
        <v>137.1</v>
      </c>
      <c r="U73" t="s">
        <v>32</v>
      </c>
      <c r="V73">
        <v>129.1</v>
      </c>
      <c r="W73">
        <v>130.6</v>
      </c>
      <c r="X73">
        <v>127</v>
      </c>
      <c r="Y73">
        <v>116</v>
      </c>
      <c r="Z73">
        <v>125.5</v>
      </c>
      <c r="AA73">
        <v>131.9</v>
      </c>
      <c r="AB73">
        <v>122</v>
      </c>
      <c r="AC73">
        <v>124.2</v>
      </c>
      <c r="AD73">
        <v>133.5</v>
      </c>
    </row>
    <row r="74" spans="1:30" x14ac:dyDescent="0.25">
      <c r="A74" t="s">
        <v>30</v>
      </c>
      <c r="B74">
        <v>2016</v>
      </c>
      <c r="C74" t="s">
        <v>42</v>
      </c>
      <c r="D74">
        <v>130.80000000000001</v>
      </c>
      <c r="E74">
        <v>138.19999999999999</v>
      </c>
      <c r="F74">
        <v>130.5</v>
      </c>
      <c r="G74">
        <v>135.5</v>
      </c>
      <c r="H74">
        <v>120.2</v>
      </c>
      <c r="I74">
        <v>139.19999999999999</v>
      </c>
      <c r="J74">
        <v>149.5</v>
      </c>
      <c r="K74">
        <v>170.4</v>
      </c>
      <c r="L74">
        <v>113.1</v>
      </c>
      <c r="M74">
        <v>135.80000000000001</v>
      </c>
      <c r="N74">
        <v>128.80000000000001</v>
      </c>
      <c r="O74">
        <v>141.5</v>
      </c>
      <c r="P74">
        <v>137.19999999999999</v>
      </c>
      <c r="Q74">
        <v>139.9</v>
      </c>
      <c r="R74">
        <v>138.5</v>
      </c>
      <c r="S74">
        <v>133.5</v>
      </c>
      <c r="T74">
        <v>137.80000000000001</v>
      </c>
      <c r="U74" t="s">
        <v>32</v>
      </c>
      <c r="V74">
        <v>129.69999999999999</v>
      </c>
      <c r="W74">
        <v>131.1</v>
      </c>
      <c r="X74">
        <v>127.8</v>
      </c>
      <c r="Y74">
        <v>117</v>
      </c>
      <c r="Z74">
        <v>125.7</v>
      </c>
      <c r="AA74">
        <v>132.19999999999999</v>
      </c>
      <c r="AB74">
        <v>122.8</v>
      </c>
      <c r="AC74">
        <v>124.9</v>
      </c>
      <c r="AD74">
        <v>133.4</v>
      </c>
    </row>
    <row r="75" spans="1:30" x14ac:dyDescent="0.25">
      <c r="A75" t="s">
        <v>30</v>
      </c>
      <c r="B75">
        <v>2016</v>
      </c>
      <c r="C75" t="s">
        <v>43</v>
      </c>
      <c r="D75">
        <v>131.30000000000001</v>
      </c>
      <c r="E75">
        <v>137.6</v>
      </c>
      <c r="F75">
        <v>130.1</v>
      </c>
      <c r="G75">
        <v>136</v>
      </c>
      <c r="H75">
        <v>120.8</v>
      </c>
      <c r="I75">
        <v>138.4</v>
      </c>
      <c r="J75">
        <v>149.19999999999999</v>
      </c>
      <c r="K75">
        <v>170.2</v>
      </c>
      <c r="L75">
        <v>113.4</v>
      </c>
      <c r="M75">
        <v>136.30000000000001</v>
      </c>
      <c r="N75">
        <v>128.69999999999999</v>
      </c>
      <c r="O75">
        <v>142.4</v>
      </c>
      <c r="P75">
        <v>137.4</v>
      </c>
      <c r="Q75">
        <v>140.9</v>
      </c>
      <c r="R75">
        <v>139.6</v>
      </c>
      <c r="S75">
        <v>134.30000000000001</v>
      </c>
      <c r="T75">
        <v>138.80000000000001</v>
      </c>
      <c r="U75" t="s">
        <v>32</v>
      </c>
      <c r="V75">
        <v>129.80000000000001</v>
      </c>
      <c r="W75">
        <v>131.80000000000001</v>
      </c>
      <c r="X75">
        <v>128.69999999999999</v>
      </c>
      <c r="Y75">
        <v>117.8</v>
      </c>
      <c r="Z75">
        <v>126.5</v>
      </c>
      <c r="AA75">
        <v>133</v>
      </c>
      <c r="AB75">
        <v>123</v>
      </c>
      <c r="AC75">
        <v>125.7</v>
      </c>
      <c r="AD75">
        <v>133.80000000000001</v>
      </c>
    </row>
    <row r="76" spans="1:30" x14ac:dyDescent="0.25">
      <c r="A76" t="s">
        <v>30</v>
      </c>
      <c r="B76">
        <v>2016</v>
      </c>
      <c r="C76" t="s">
        <v>45</v>
      </c>
      <c r="D76">
        <v>132</v>
      </c>
      <c r="E76">
        <v>137.4</v>
      </c>
      <c r="F76">
        <v>130.6</v>
      </c>
      <c r="G76">
        <v>136.19999999999999</v>
      </c>
      <c r="H76">
        <v>121.1</v>
      </c>
      <c r="I76">
        <v>136.9</v>
      </c>
      <c r="J76">
        <v>141.80000000000001</v>
      </c>
      <c r="K76">
        <v>170</v>
      </c>
      <c r="L76">
        <v>113.4</v>
      </c>
      <c r="M76">
        <v>136.80000000000001</v>
      </c>
      <c r="N76">
        <v>128.69999999999999</v>
      </c>
      <c r="O76">
        <v>143.1</v>
      </c>
      <c r="P76">
        <v>136.6</v>
      </c>
      <c r="Q76">
        <v>141.19999999999999</v>
      </c>
      <c r="R76">
        <v>139.9</v>
      </c>
      <c r="S76">
        <v>134.5</v>
      </c>
      <c r="T76">
        <v>139.19999999999999</v>
      </c>
      <c r="U76" t="s">
        <v>32</v>
      </c>
      <c r="V76">
        <v>130.30000000000001</v>
      </c>
      <c r="W76">
        <v>132.1</v>
      </c>
      <c r="X76">
        <v>129.1</v>
      </c>
      <c r="Y76">
        <v>118.2</v>
      </c>
      <c r="Z76">
        <v>126.9</v>
      </c>
      <c r="AA76">
        <v>133.69999999999999</v>
      </c>
      <c r="AB76">
        <v>123.5</v>
      </c>
      <c r="AC76">
        <v>126.1</v>
      </c>
      <c r="AD76">
        <v>133.6</v>
      </c>
    </row>
    <row r="77" spans="1:30" x14ac:dyDescent="0.25">
      <c r="A77" t="s">
        <v>30</v>
      </c>
      <c r="B77">
        <v>2016</v>
      </c>
      <c r="C77" t="s">
        <v>46</v>
      </c>
      <c r="D77">
        <v>132.6</v>
      </c>
      <c r="E77">
        <v>137.30000000000001</v>
      </c>
      <c r="F77">
        <v>131.6</v>
      </c>
      <c r="G77">
        <v>136.30000000000001</v>
      </c>
      <c r="H77">
        <v>121.6</v>
      </c>
      <c r="I77">
        <v>135.6</v>
      </c>
      <c r="J77">
        <v>127.5</v>
      </c>
      <c r="K77">
        <v>167.9</v>
      </c>
      <c r="L77">
        <v>113.8</v>
      </c>
      <c r="M77">
        <v>137.5</v>
      </c>
      <c r="N77">
        <v>129.1</v>
      </c>
      <c r="O77">
        <v>143.6</v>
      </c>
      <c r="P77">
        <v>134.69999999999999</v>
      </c>
      <c r="Q77">
        <v>142.4</v>
      </c>
      <c r="R77">
        <v>140.4</v>
      </c>
      <c r="S77">
        <v>135.19999999999999</v>
      </c>
      <c r="T77">
        <v>139.69999999999999</v>
      </c>
      <c r="U77" t="s">
        <v>32</v>
      </c>
      <c r="V77">
        <v>132</v>
      </c>
      <c r="W77">
        <v>132.9</v>
      </c>
      <c r="X77">
        <v>129.69999999999999</v>
      </c>
      <c r="Y77">
        <v>118.6</v>
      </c>
      <c r="Z77">
        <v>127.3</v>
      </c>
      <c r="AA77">
        <v>134.19999999999999</v>
      </c>
      <c r="AB77">
        <v>121.9</v>
      </c>
      <c r="AC77">
        <v>126.3</v>
      </c>
      <c r="AD77">
        <v>132.80000000000001</v>
      </c>
    </row>
    <row r="78" spans="1:30" x14ac:dyDescent="0.25">
      <c r="A78" t="s">
        <v>30</v>
      </c>
      <c r="B78">
        <v>2015</v>
      </c>
      <c r="C78" t="s">
        <v>31</v>
      </c>
      <c r="D78">
        <v>123.1</v>
      </c>
      <c r="E78">
        <v>123.1</v>
      </c>
      <c r="F78">
        <v>122.1</v>
      </c>
      <c r="G78">
        <v>124.9</v>
      </c>
      <c r="H78">
        <v>111</v>
      </c>
      <c r="I78">
        <v>130.4</v>
      </c>
      <c r="J78">
        <v>132.30000000000001</v>
      </c>
      <c r="K78">
        <v>117.2</v>
      </c>
      <c r="L78">
        <v>100.5</v>
      </c>
      <c r="M78">
        <v>117.2</v>
      </c>
      <c r="N78">
        <v>117.9</v>
      </c>
      <c r="O78">
        <v>125.6</v>
      </c>
      <c r="P78">
        <v>122.8</v>
      </c>
      <c r="Q78">
        <v>122.7</v>
      </c>
      <c r="R78">
        <v>124.4</v>
      </c>
      <c r="S78">
        <v>121.6</v>
      </c>
      <c r="T78">
        <v>124</v>
      </c>
      <c r="U78" t="s">
        <v>32</v>
      </c>
      <c r="V78">
        <v>118.4</v>
      </c>
      <c r="W78">
        <v>118.9</v>
      </c>
      <c r="X78">
        <v>116.6</v>
      </c>
      <c r="Y78">
        <v>111</v>
      </c>
      <c r="Z78">
        <v>114</v>
      </c>
      <c r="AA78">
        <v>118.2</v>
      </c>
      <c r="AB78">
        <v>110.2</v>
      </c>
      <c r="AC78">
        <v>114.5</v>
      </c>
      <c r="AD78">
        <v>120.3</v>
      </c>
    </row>
    <row r="79" spans="1:30" x14ac:dyDescent="0.25">
      <c r="A79" t="s">
        <v>30</v>
      </c>
      <c r="B79">
        <v>2015</v>
      </c>
      <c r="C79" t="s">
        <v>35</v>
      </c>
      <c r="D79">
        <v>123.4</v>
      </c>
      <c r="E79">
        <v>124.4</v>
      </c>
      <c r="F79">
        <v>122.1</v>
      </c>
      <c r="G79">
        <v>125.8</v>
      </c>
      <c r="H79">
        <v>111.5</v>
      </c>
      <c r="I79">
        <v>129.4</v>
      </c>
      <c r="J79">
        <v>128.19999999999999</v>
      </c>
      <c r="K79">
        <v>118.8</v>
      </c>
      <c r="L79">
        <v>100</v>
      </c>
      <c r="M79">
        <v>118.6</v>
      </c>
      <c r="N79">
        <v>118.8</v>
      </c>
      <c r="O79">
        <v>126.8</v>
      </c>
      <c r="P79">
        <v>122.8</v>
      </c>
      <c r="Q79">
        <v>124.2</v>
      </c>
      <c r="R79">
        <v>125.4</v>
      </c>
      <c r="S79">
        <v>122.7</v>
      </c>
      <c r="T79">
        <v>125</v>
      </c>
      <c r="U79" t="s">
        <v>32</v>
      </c>
      <c r="V79">
        <v>120</v>
      </c>
      <c r="W79">
        <v>119.6</v>
      </c>
      <c r="X79">
        <v>117.7</v>
      </c>
      <c r="Y79">
        <v>110.9</v>
      </c>
      <c r="Z79">
        <v>114.8</v>
      </c>
      <c r="AA79">
        <v>118.7</v>
      </c>
      <c r="AB79">
        <v>110.8</v>
      </c>
      <c r="AC79">
        <v>115</v>
      </c>
      <c r="AD79">
        <v>120.6</v>
      </c>
    </row>
    <row r="80" spans="1:30" x14ac:dyDescent="0.25">
      <c r="A80" t="s">
        <v>30</v>
      </c>
      <c r="B80">
        <v>2022</v>
      </c>
      <c r="C80" t="s">
        <v>39</v>
      </c>
      <c r="D80">
        <v>153.80000000000001</v>
      </c>
      <c r="E80">
        <v>217.2</v>
      </c>
      <c r="F80">
        <v>169.6</v>
      </c>
      <c r="G80">
        <v>165.4</v>
      </c>
      <c r="H80">
        <v>208.1</v>
      </c>
      <c r="I80">
        <v>165.8</v>
      </c>
      <c r="J80">
        <v>167.3</v>
      </c>
      <c r="K80">
        <v>164.6</v>
      </c>
      <c r="L80">
        <v>119.1</v>
      </c>
      <c r="M80">
        <v>188.9</v>
      </c>
      <c r="N80">
        <v>174.2</v>
      </c>
      <c r="O80">
        <v>181.9</v>
      </c>
      <c r="P80">
        <v>172.4</v>
      </c>
      <c r="Q80">
        <v>192.9</v>
      </c>
      <c r="R80">
        <v>180.7</v>
      </c>
      <c r="S80">
        <v>178.7</v>
      </c>
      <c r="T80">
        <v>180.4</v>
      </c>
      <c r="U80" t="s">
        <v>32</v>
      </c>
      <c r="V80">
        <v>176.7</v>
      </c>
      <c r="W80">
        <v>170.3</v>
      </c>
      <c r="X80">
        <v>178.2</v>
      </c>
      <c r="Y80">
        <v>165.5</v>
      </c>
      <c r="Z80">
        <v>168</v>
      </c>
      <c r="AA80">
        <v>172.6</v>
      </c>
      <c r="AB80">
        <v>169.5</v>
      </c>
      <c r="AC80">
        <v>171</v>
      </c>
      <c r="AD80">
        <v>173.6</v>
      </c>
    </row>
    <row r="81" spans="1:30" x14ac:dyDescent="0.25">
      <c r="A81" t="s">
        <v>30</v>
      </c>
      <c r="B81">
        <v>2022</v>
      </c>
      <c r="C81" t="s">
        <v>40</v>
      </c>
      <c r="D81">
        <v>155.19999999999999</v>
      </c>
      <c r="E81">
        <v>210.8</v>
      </c>
      <c r="F81">
        <v>174.3</v>
      </c>
      <c r="G81">
        <v>166.3</v>
      </c>
      <c r="H81">
        <v>202.2</v>
      </c>
      <c r="I81">
        <v>169.6</v>
      </c>
      <c r="J81">
        <v>168.6</v>
      </c>
      <c r="K81">
        <v>164.4</v>
      </c>
      <c r="L81">
        <v>119.2</v>
      </c>
      <c r="M81">
        <v>191.8</v>
      </c>
      <c r="N81">
        <v>174.5</v>
      </c>
      <c r="O81">
        <v>183.1</v>
      </c>
      <c r="P81">
        <v>172.5</v>
      </c>
      <c r="Q81">
        <v>193.2</v>
      </c>
      <c r="R81">
        <v>182</v>
      </c>
      <c r="S81">
        <v>180.3</v>
      </c>
      <c r="T81">
        <v>181.7</v>
      </c>
      <c r="U81" t="s">
        <v>32</v>
      </c>
      <c r="V81">
        <v>179.6</v>
      </c>
      <c r="W81">
        <v>171.3</v>
      </c>
      <c r="X81">
        <v>178.8</v>
      </c>
      <c r="Y81">
        <v>166.3</v>
      </c>
      <c r="Z81">
        <v>168.6</v>
      </c>
      <c r="AA81">
        <v>174.7</v>
      </c>
      <c r="AB81">
        <v>169.7</v>
      </c>
      <c r="AC81">
        <v>171.8</v>
      </c>
      <c r="AD81">
        <v>174.3</v>
      </c>
    </row>
    <row r="82" spans="1:30" x14ac:dyDescent="0.25">
      <c r="A82" t="s">
        <v>30</v>
      </c>
      <c r="B82">
        <v>2015</v>
      </c>
      <c r="C82" t="s">
        <v>36</v>
      </c>
      <c r="D82">
        <v>123.3</v>
      </c>
      <c r="E82">
        <v>124.7</v>
      </c>
      <c r="F82">
        <v>118.9</v>
      </c>
      <c r="G82">
        <v>126</v>
      </c>
      <c r="H82">
        <v>111.8</v>
      </c>
      <c r="I82">
        <v>130.9</v>
      </c>
      <c r="J82">
        <v>128</v>
      </c>
      <c r="K82">
        <v>119.9</v>
      </c>
      <c r="L82">
        <v>98.9</v>
      </c>
      <c r="M82">
        <v>119.4</v>
      </c>
      <c r="N82">
        <v>118.9</v>
      </c>
      <c r="O82">
        <v>127.7</v>
      </c>
      <c r="P82">
        <v>123.1</v>
      </c>
      <c r="Q82">
        <v>124.7</v>
      </c>
      <c r="R82">
        <v>126</v>
      </c>
      <c r="S82">
        <v>122.9</v>
      </c>
      <c r="T82">
        <v>125.5</v>
      </c>
      <c r="U82" t="s">
        <v>32</v>
      </c>
      <c r="V82">
        <v>120.6</v>
      </c>
      <c r="W82">
        <v>120.2</v>
      </c>
      <c r="X82">
        <v>118.2</v>
      </c>
      <c r="Y82">
        <v>111.6</v>
      </c>
      <c r="Z82">
        <v>115.5</v>
      </c>
      <c r="AA82">
        <v>119.4</v>
      </c>
      <c r="AB82">
        <v>110.8</v>
      </c>
      <c r="AC82">
        <v>115.5</v>
      </c>
      <c r="AD82">
        <v>121.1</v>
      </c>
    </row>
    <row r="83" spans="1:30" x14ac:dyDescent="0.25">
      <c r="A83" t="s">
        <v>30</v>
      </c>
      <c r="B83">
        <v>2022</v>
      </c>
      <c r="C83" t="s">
        <v>41</v>
      </c>
      <c r="D83">
        <v>159.5</v>
      </c>
      <c r="E83">
        <v>204.1</v>
      </c>
      <c r="F83">
        <v>168.3</v>
      </c>
      <c r="G83">
        <v>167.9</v>
      </c>
      <c r="H83">
        <v>198.1</v>
      </c>
      <c r="I83">
        <v>169.2</v>
      </c>
      <c r="J83">
        <v>173.1</v>
      </c>
      <c r="K83">
        <v>167.1</v>
      </c>
      <c r="L83">
        <v>120.2</v>
      </c>
      <c r="M83">
        <v>195.6</v>
      </c>
      <c r="N83">
        <v>174.8</v>
      </c>
      <c r="O83">
        <v>184</v>
      </c>
      <c r="P83">
        <v>173.9</v>
      </c>
      <c r="Q83">
        <v>193.7</v>
      </c>
      <c r="R83">
        <v>183.2</v>
      </c>
      <c r="S83">
        <v>181.7</v>
      </c>
      <c r="T83">
        <v>183</v>
      </c>
      <c r="U83" t="s">
        <v>32</v>
      </c>
      <c r="V83">
        <v>179.1</v>
      </c>
      <c r="W83">
        <v>172.3</v>
      </c>
      <c r="X83">
        <v>179.4</v>
      </c>
      <c r="Y83">
        <v>166.6</v>
      </c>
      <c r="Z83">
        <v>169.3</v>
      </c>
      <c r="AA83">
        <v>175.7</v>
      </c>
      <c r="AB83">
        <v>171.1</v>
      </c>
      <c r="AC83">
        <v>172.6</v>
      </c>
      <c r="AD83">
        <v>175.3</v>
      </c>
    </row>
    <row r="84" spans="1:30" x14ac:dyDescent="0.25">
      <c r="A84" t="s">
        <v>30</v>
      </c>
      <c r="B84">
        <v>2022</v>
      </c>
      <c r="C84" t="s">
        <v>42</v>
      </c>
      <c r="D84">
        <v>162.9</v>
      </c>
      <c r="E84">
        <v>206.7</v>
      </c>
      <c r="F84">
        <v>169</v>
      </c>
      <c r="G84">
        <v>169.5</v>
      </c>
      <c r="H84">
        <v>194.1</v>
      </c>
      <c r="I84">
        <v>164.1</v>
      </c>
      <c r="J84">
        <v>176.9</v>
      </c>
      <c r="K84">
        <v>169</v>
      </c>
      <c r="L84">
        <v>120.8</v>
      </c>
      <c r="M84">
        <v>199.1</v>
      </c>
      <c r="N84">
        <v>175.4</v>
      </c>
      <c r="O84">
        <v>184.8</v>
      </c>
      <c r="P84">
        <v>175.5</v>
      </c>
      <c r="Q84">
        <v>194.5</v>
      </c>
      <c r="R84">
        <v>184.7</v>
      </c>
      <c r="S84">
        <v>183.3</v>
      </c>
      <c r="T84">
        <v>184.5</v>
      </c>
      <c r="U84" t="s">
        <v>32</v>
      </c>
      <c r="V84">
        <v>179.7</v>
      </c>
      <c r="W84">
        <v>173.6</v>
      </c>
      <c r="X84">
        <v>180.2</v>
      </c>
      <c r="Y84">
        <v>166.9</v>
      </c>
      <c r="Z84">
        <v>170</v>
      </c>
      <c r="AA84">
        <v>176.2</v>
      </c>
      <c r="AB84">
        <v>170.8</v>
      </c>
      <c r="AC84">
        <v>173.1</v>
      </c>
      <c r="AD84">
        <v>176.4</v>
      </c>
    </row>
    <row r="85" spans="1:30" x14ac:dyDescent="0.25">
      <c r="A85" t="s">
        <v>30</v>
      </c>
      <c r="B85">
        <v>2015</v>
      </c>
      <c r="C85" t="s">
        <v>37</v>
      </c>
      <c r="D85">
        <v>123.3</v>
      </c>
      <c r="E85">
        <v>125.5</v>
      </c>
      <c r="F85">
        <v>117.2</v>
      </c>
      <c r="G85">
        <v>126.8</v>
      </c>
      <c r="H85">
        <v>111.9</v>
      </c>
      <c r="I85">
        <v>134.19999999999999</v>
      </c>
      <c r="J85">
        <v>127.5</v>
      </c>
      <c r="K85">
        <v>121.5</v>
      </c>
      <c r="L85">
        <v>97.8</v>
      </c>
      <c r="M85">
        <v>119.8</v>
      </c>
      <c r="N85">
        <v>119.4</v>
      </c>
      <c r="O85">
        <v>128.69999999999999</v>
      </c>
      <c r="P85">
        <v>123.6</v>
      </c>
      <c r="Q85">
        <v>125.7</v>
      </c>
      <c r="R85">
        <v>126.4</v>
      </c>
      <c r="S85">
        <v>123.3</v>
      </c>
      <c r="T85">
        <v>126</v>
      </c>
      <c r="U85" t="s">
        <v>32</v>
      </c>
      <c r="V85">
        <v>121.2</v>
      </c>
      <c r="W85">
        <v>120.9</v>
      </c>
      <c r="X85">
        <v>118.6</v>
      </c>
      <c r="Y85">
        <v>111.9</v>
      </c>
      <c r="Z85">
        <v>116.2</v>
      </c>
      <c r="AA85">
        <v>119.9</v>
      </c>
      <c r="AB85">
        <v>111.6</v>
      </c>
      <c r="AC85">
        <v>116</v>
      </c>
      <c r="AD85">
        <v>121.5</v>
      </c>
    </row>
    <row r="86" spans="1:30" x14ac:dyDescent="0.25">
      <c r="A86" t="s">
        <v>30</v>
      </c>
      <c r="B86">
        <v>2022</v>
      </c>
      <c r="C86" t="s">
        <v>43</v>
      </c>
      <c r="D86">
        <v>164.7</v>
      </c>
      <c r="E86">
        <v>208.8</v>
      </c>
      <c r="F86">
        <v>170.3</v>
      </c>
      <c r="G86">
        <v>170.9</v>
      </c>
      <c r="H86">
        <v>191.6</v>
      </c>
      <c r="I86">
        <v>162.19999999999999</v>
      </c>
      <c r="J86">
        <v>184.8</v>
      </c>
      <c r="K86">
        <v>169.7</v>
      </c>
      <c r="L86">
        <v>121.1</v>
      </c>
      <c r="M86">
        <v>201.6</v>
      </c>
      <c r="N86">
        <v>175.8</v>
      </c>
      <c r="O86">
        <v>185.6</v>
      </c>
      <c r="P86">
        <v>177.4</v>
      </c>
      <c r="Q86">
        <v>194.9</v>
      </c>
      <c r="R86">
        <v>186.1</v>
      </c>
      <c r="S86">
        <v>184.4</v>
      </c>
      <c r="T86">
        <v>185.9</v>
      </c>
      <c r="U86" t="s">
        <v>32</v>
      </c>
      <c r="V86">
        <v>180.8</v>
      </c>
      <c r="W86">
        <v>174.4</v>
      </c>
      <c r="X86">
        <v>181.2</v>
      </c>
      <c r="Y86">
        <v>167.4</v>
      </c>
      <c r="Z86">
        <v>170.6</v>
      </c>
      <c r="AA86">
        <v>176.5</v>
      </c>
      <c r="AB86">
        <v>172</v>
      </c>
      <c r="AC86">
        <v>173.9</v>
      </c>
      <c r="AD86">
        <v>177.9</v>
      </c>
    </row>
    <row r="87" spans="1:30" x14ac:dyDescent="0.25">
      <c r="A87" t="s">
        <v>30</v>
      </c>
      <c r="B87">
        <v>2022</v>
      </c>
      <c r="C87" t="s">
        <v>45</v>
      </c>
      <c r="D87">
        <v>166.9</v>
      </c>
      <c r="E87">
        <v>207.2</v>
      </c>
      <c r="F87">
        <v>180.2</v>
      </c>
      <c r="G87">
        <v>172.3</v>
      </c>
      <c r="H87">
        <v>194</v>
      </c>
      <c r="I87">
        <v>159.1</v>
      </c>
      <c r="J87">
        <v>171.6</v>
      </c>
      <c r="K87">
        <v>170.2</v>
      </c>
      <c r="L87">
        <v>121.5</v>
      </c>
      <c r="M87">
        <v>204.8</v>
      </c>
      <c r="N87">
        <v>176.4</v>
      </c>
      <c r="O87">
        <v>186.9</v>
      </c>
      <c r="P87">
        <v>176.6</v>
      </c>
      <c r="Q87">
        <v>195.5</v>
      </c>
      <c r="R87">
        <v>187.2</v>
      </c>
      <c r="S87">
        <v>185.2</v>
      </c>
      <c r="T87">
        <v>186.9</v>
      </c>
      <c r="U87" t="s">
        <v>32</v>
      </c>
      <c r="V87">
        <v>181.9</v>
      </c>
      <c r="W87">
        <v>175.5</v>
      </c>
      <c r="X87">
        <v>182.3</v>
      </c>
      <c r="Y87">
        <v>167.5</v>
      </c>
      <c r="Z87">
        <v>170.8</v>
      </c>
      <c r="AA87">
        <v>176.9</v>
      </c>
      <c r="AB87">
        <v>173.4</v>
      </c>
      <c r="AC87">
        <v>174.6</v>
      </c>
      <c r="AD87">
        <v>177.8</v>
      </c>
    </row>
    <row r="88" spans="1:30" x14ac:dyDescent="0.25">
      <c r="A88" t="s">
        <v>30</v>
      </c>
      <c r="B88">
        <v>2015</v>
      </c>
      <c r="C88" t="s">
        <v>38</v>
      </c>
      <c r="D88">
        <v>123.5</v>
      </c>
      <c r="E88">
        <v>127.1</v>
      </c>
      <c r="F88">
        <v>117.3</v>
      </c>
      <c r="G88">
        <v>127.7</v>
      </c>
      <c r="H88">
        <v>112.5</v>
      </c>
      <c r="I88">
        <v>134.1</v>
      </c>
      <c r="J88">
        <v>128.5</v>
      </c>
      <c r="K88">
        <v>124.3</v>
      </c>
      <c r="L88">
        <v>97.6</v>
      </c>
      <c r="M88">
        <v>120.7</v>
      </c>
      <c r="N88">
        <v>120.2</v>
      </c>
      <c r="O88">
        <v>129.80000000000001</v>
      </c>
      <c r="P88">
        <v>124.4</v>
      </c>
      <c r="Q88">
        <v>126.7</v>
      </c>
      <c r="R88">
        <v>127.3</v>
      </c>
      <c r="S88">
        <v>124.1</v>
      </c>
      <c r="T88">
        <v>126.8</v>
      </c>
      <c r="U88" t="s">
        <v>32</v>
      </c>
      <c r="V88">
        <v>121.9</v>
      </c>
      <c r="W88">
        <v>121.5</v>
      </c>
      <c r="X88">
        <v>119.4</v>
      </c>
      <c r="Y88">
        <v>113.3</v>
      </c>
      <c r="Z88">
        <v>116.7</v>
      </c>
      <c r="AA88">
        <v>120.5</v>
      </c>
      <c r="AB88">
        <v>112.3</v>
      </c>
      <c r="AC88">
        <v>116.9</v>
      </c>
      <c r="AD88">
        <v>122.4</v>
      </c>
    </row>
    <row r="89" spans="1:30" x14ac:dyDescent="0.25">
      <c r="A89" t="s">
        <v>30</v>
      </c>
      <c r="B89">
        <v>2022</v>
      </c>
      <c r="C89" t="s">
        <v>46</v>
      </c>
      <c r="D89">
        <v>168.8</v>
      </c>
      <c r="E89">
        <v>206.9</v>
      </c>
      <c r="F89">
        <v>189.1</v>
      </c>
      <c r="G89">
        <v>173.4</v>
      </c>
      <c r="H89">
        <v>193.9</v>
      </c>
      <c r="I89">
        <v>156.69999999999999</v>
      </c>
      <c r="J89">
        <v>150.19999999999999</v>
      </c>
      <c r="K89">
        <v>170.5</v>
      </c>
      <c r="L89">
        <v>121.2</v>
      </c>
      <c r="M89">
        <v>207.5</v>
      </c>
      <c r="N89">
        <v>176.8</v>
      </c>
      <c r="O89">
        <v>187.7</v>
      </c>
      <c r="P89">
        <v>174.4</v>
      </c>
      <c r="Q89">
        <v>195.9</v>
      </c>
      <c r="R89">
        <v>188.1</v>
      </c>
      <c r="S89">
        <v>185.9</v>
      </c>
      <c r="T89">
        <v>187.8</v>
      </c>
      <c r="U89" t="s">
        <v>32</v>
      </c>
      <c r="V89">
        <v>182.8</v>
      </c>
      <c r="W89">
        <v>176.4</v>
      </c>
      <c r="X89">
        <v>183.5</v>
      </c>
      <c r="Y89">
        <v>167.8</v>
      </c>
      <c r="Z89">
        <v>171.2</v>
      </c>
      <c r="AA89">
        <v>177.3</v>
      </c>
      <c r="AB89">
        <v>175.7</v>
      </c>
      <c r="AC89">
        <v>175.5</v>
      </c>
      <c r="AD89">
        <v>177.1</v>
      </c>
    </row>
    <row r="90" spans="1:30" x14ac:dyDescent="0.25">
      <c r="A90" t="s">
        <v>30</v>
      </c>
      <c r="B90">
        <v>2023</v>
      </c>
      <c r="C90" t="s">
        <v>31</v>
      </c>
      <c r="D90">
        <v>174</v>
      </c>
      <c r="E90">
        <v>208.3</v>
      </c>
      <c r="F90">
        <v>192.9</v>
      </c>
      <c r="G90">
        <v>174.3</v>
      </c>
      <c r="H90">
        <v>192.6</v>
      </c>
      <c r="I90">
        <v>156.30000000000001</v>
      </c>
      <c r="J90">
        <v>142.9</v>
      </c>
      <c r="K90">
        <v>170.7</v>
      </c>
      <c r="L90">
        <v>120.3</v>
      </c>
      <c r="M90">
        <v>210.5</v>
      </c>
      <c r="N90">
        <v>176.9</v>
      </c>
      <c r="O90">
        <v>188.5</v>
      </c>
      <c r="P90">
        <v>175</v>
      </c>
      <c r="Q90">
        <v>196.9</v>
      </c>
      <c r="R90">
        <v>189</v>
      </c>
      <c r="S90">
        <v>186.3</v>
      </c>
      <c r="T90">
        <v>188.6</v>
      </c>
      <c r="U90" t="s">
        <v>32</v>
      </c>
      <c r="V90">
        <v>183.2</v>
      </c>
      <c r="W90">
        <v>177.2</v>
      </c>
      <c r="X90">
        <v>184.7</v>
      </c>
      <c r="Y90">
        <v>168.2</v>
      </c>
      <c r="Z90">
        <v>171.8</v>
      </c>
      <c r="AA90">
        <v>177.8</v>
      </c>
      <c r="AB90">
        <v>178.4</v>
      </c>
      <c r="AC90">
        <v>176.5</v>
      </c>
      <c r="AD90">
        <v>177.8</v>
      </c>
    </row>
    <row r="91" spans="1:30" x14ac:dyDescent="0.25">
      <c r="A91" t="s">
        <v>30</v>
      </c>
      <c r="B91">
        <v>2015</v>
      </c>
      <c r="C91" t="s">
        <v>39</v>
      </c>
      <c r="D91">
        <v>124.1</v>
      </c>
      <c r="E91">
        <v>130.4</v>
      </c>
      <c r="F91">
        <v>122.1</v>
      </c>
      <c r="G91">
        <v>128.69999999999999</v>
      </c>
      <c r="H91">
        <v>114.1</v>
      </c>
      <c r="I91">
        <v>133.19999999999999</v>
      </c>
      <c r="J91">
        <v>135.19999999999999</v>
      </c>
      <c r="K91">
        <v>131.9</v>
      </c>
      <c r="L91">
        <v>96.3</v>
      </c>
      <c r="M91">
        <v>123</v>
      </c>
      <c r="N91">
        <v>121.1</v>
      </c>
      <c r="O91">
        <v>131.19999999999999</v>
      </c>
      <c r="P91">
        <v>126.6</v>
      </c>
      <c r="Q91">
        <v>128.19999999999999</v>
      </c>
      <c r="R91">
        <v>128.4</v>
      </c>
      <c r="S91">
        <v>125.1</v>
      </c>
      <c r="T91">
        <v>128</v>
      </c>
      <c r="U91" t="s">
        <v>32</v>
      </c>
      <c r="V91">
        <v>122.6</v>
      </c>
      <c r="W91">
        <v>122.8</v>
      </c>
      <c r="X91">
        <v>120.4</v>
      </c>
      <c r="Y91">
        <v>114.2</v>
      </c>
      <c r="Z91">
        <v>117.9</v>
      </c>
      <c r="AA91">
        <v>122</v>
      </c>
      <c r="AB91">
        <v>113</v>
      </c>
      <c r="AC91">
        <v>117.9</v>
      </c>
      <c r="AD91">
        <v>124.1</v>
      </c>
    </row>
    <row r="92" spans="1:30" x14ac:dyDescent="0.25">
      <c r="A92" t="s">
        <v>30</v>
      </c>
      <c r="B92">
        <v>2023</v>
      </c>
      <c r="C92" t="s">
        <v>35</v>
      </c>
      <c r="D92">
        <v>174.2</v>
      </c>
      <c r="E92">
        <v>205.2</v>
      </c>
      <c r="F92">
        <v>173.9</v>
      </c>
      <c r="G92">
        <v>177</v>
      </c>
      <c r="H92">
        <v>183.4</v>
      </c>
      <c r="I92">
        <v>167.2</v>
      </c>
      <c r="J92">
        <v>140.9</v>
      </c>
      <c r="K92">
        <v>170.4</v>
      </c>
      <c r="L92">
        <v>119.1</v>
      </c>
      <c r="M92">
        <v>212.1</v>
      </c>
      <c r="N92">
        <v>177.6</v>
      </c>
      <c r="O92">
        <v>189.9</v>
      </c>
      <c r="P92">
        <v>174.8</v>
      </c>
      <c r="Q92">
        <v>198.3</v>
      </c>
      <c r="R92">
        <v>190</v>
      </c>
      <c r="S92">
        <v>187</v>
      </c>
      <c r="T92">
        <v>189.6</v>
      </c>
      <c r="U92" t="s">
        <v>32</v>
      </c>
      <c r="V92">
        <v>181.6</v>
      </c>
      <c r="W92">
        <v>178.6</v>
      </c>
      <c r="X92">
        <v>186.6</v>
      </c>
      <c r="Y92">
        <v>169</v>
      </c>
      <c r="Z92">
        <v>172.8</v>
      </c>
      <c r="AA92">
        <v>178.5</v>
      </c>
      <c r="AB92">
        <v>180.7</v>
      </c>
      <c r="AC92">
        <v>177.9</v>
      </c>
      <c r="AD92">
        <v>178</v>
      </c>
    </row>
    <row r="93" spans="1:30" x14ac:dyDescent="0.25">
      <c r="A93" t="s">
        <v>30</v>
      </c>
      <c r="B93">
        <v>2023</v>
      </c>
      <c r="C93" t="s">
        <v>36</v>
      </c>
      <c r="D93">
        <v>174.3</v>
      </c>
      <c r="E93">
        <v>205.2</v>
      </c>
      <c r="F93">
        <v>173.9</v>
      </c>
      <c r="G93">
        <v>177</v>
      </c>
      <c r="H93">
        <v>183.3</v>
      </c>
      <c r="I93">
        <v>167.2</v>
      </c>
      <c r="J93">
        <v>140.9</v>
      </c>
      <c r="K93">
        <v>170.5</v>
      </c>
      <c r="L93">
        <v>119.1</v>
      </c>
      <c r="M93">
        <v>212.1</v>
      </c>
      <c r="N93">
        <v>177.6</v>
      </c>
      <c r="O93">
        <v>189.9</v>
      </c>
      <c r="P93">
        <v>174.8</v>
      </c>
      <c r="Q93">
        <v>198.4</v>
      </c>
      <c r="R93">
        <v>190</v>
      </c>
      <c r="S93">
        <v>187</v>
      </c>
      <c r="T93">
        <v>189.6</v>
      </c>
      <c r="U93" t="s">
        <v>32</v>
      </c>
      <c r="V93">
        <v>181.4</v>
      </c>
      <c r="W93">
        <v>178.6</v>
      </c>
      <c r="X93">
        <v>186.6</v>
      </c>
      <c r="Y93">
        <v>169</v>
      </c>
      <c r="Z93">
        <v>172.8</v>
      </c>
      <c r="AA93">
        <v>178.5</v>
      </c>
      <c r="AB93">
        <v>180.7</v>
      </c>
      <c r="AC93">
        <v>177.9</v>
      </c>
      <c r="AD93">
        <v>178</v>
      </c>
    </row>
    <row r="94" spans="1:30" x14ac:dyDescent="0.25">
      <c r="A94" t="s">
        <v>30</v>
      </c>
      <c r="B94">
        <v>2015</v>
      </c>
      <c r="C94" t="s">
        <v>40</v>
      </c>
      <c r="D94">
        <v>124</v>
      </c>
      <c r="E94">
        <v>131.5</v>
      </c>
      <c r="F94">
        <v>122</v>
      </c>
      <c r="G94">
        <v>128.69999999999999</v>
      </c>
      <c r="H94">
        <v>113.5</v>
      </c>
      <c r="I94">
        <v>133.30000000000001</v>
      </c>
      <c r="J94">
        <v>140.80000000000001</v>
      </c>
      <c r="K94">
        <v>133.80000000000001</v>
      </c>
      <c r="L94">
        <v>94.1</v>
      </c>
      <c r="M94">
        <v>123.4</v>
      </c>
      <c r="N94">
        <v>121</v>
      </c>
      <c r="O94">
        <v>131.69999999999999</v>
      </c>
      <c r="P94">
        <v>127.5</v>
      </c>
      <c r="Q94">
        <v>129.4</v>
      </c>
      <c r="R94">
        <v>128.80000000000001</v>
      </c>
      <c r="S94">
        <v>125.5</v>
      </c>
      <c r="T94">
        <v>128.30000000000001</v>
      </c>
      <c r="U94" t="s">
        <v>32</v>
      </c>
      <c r="V94">
        <v>123</v>
      </c>
      <c r="W94">
        <v>123</v>
      </c>
      <c r="X94">
        <v>120.8</v>
      </c>
      <c r="Y94">
        <v>114.1</v>
      </c>
      <c r="Z94">
        <v>118</v>
      </c>
      <c r="AA94">
        <v>122.9</v>
      </c>
      <c r="AB94">
        <v>112.7</v>
      </c>
      <c r="AC94">
        <v>118.1</v>
      </c>
      <c r="AD94">
        <v>124.7</v>
      </c>
    </row>
    <row r="95" spans="1:30" x14ac:dyDescent="0.25">
      <c r="A95" t="s">
        <v>30</v>
      </c>
      <c r="B95">
        <v>2023</v>
      </c>
      <c r="C95" t="s">
        <v>37</v>
      </c>
      <c r="D95">
        <v>173.3</v>
      </c>
      <c r="E95">
        <v>206.9</v>
      </c>
      <c r="F95">
        <v>167.9</v>
      </c>
      <c r="G95">
        <v>178.2</v>
      </c>
      <c r="H95">
        <v>178.5</v>
      </c>
      <c r="I95">
        <v>173.7</v>
      </c>
      <c r="J95">
        <v>142.80000000000001</v>
      </c>
      <c r="K95">
        <v>172.8</v>
      </c>
      <c r="L95">
        <v>120.4</v>
      </c>
      <c r="M95">
        <v>215.5</v>
      </c>
      <c r="N95">
        <v>178.2</v>
      </c>
      <c r="O95">
        <v>190.5</v>
      </c>
      <c r="P95">
        <v>175.5</v>
      </c>
      <c r="Q95">
        <v>199.5</v>
      </c>
      <c r="R95">
        <v>190.7</v>
      </c>
      <c r="S95">
        <v>187.3</v>
      </c>
      <c r="T95">
        <v>190.2</v>
      </c>
      <c r="U95" t="s">
        <v>32</v>
      </c>
      <c r="V95">
        <v>181.5</v>
      </c>
      <c r="W95">
        <v>179.1</v>
      </c>
      <c r="X95">
        <v>187.2</v>
      </c>
      <c r="Y95">
        <v>169.4</v>
      </c>
      <c r="Z95">
        <v>173.2</v>
      </c>
      <c r="AA95">
        <v>179.4</v>
      </c>
      <c r="AB95">
        <v>183.8</v>
      </c>
      <c r="AC95">
        <v>178.9</v>
      </c>
      <c r="AD95">
        <v>178.8</v>
      </c>
    </row>
    <row r="96" spans="1:30" x14ac:dyDescent="0.25">
      <c r="A96" t="s">
        <v>30</v>
      </c>
      <c r="B96">
        <v>2023</v>
      </c>
      <c r="C96" t="s">
        <v>38</v>
      </c>
      <c r="D96">
        <v>173.2</v>
      </c>
      <c r="E96">
        <v>211.5</v>
      </c>
      <c r="F96">
        <v>171</v>
      </c>
      <c r="G96">
        <v>179.6</v>
      </c>
      <c r="H96">
        <v>173.3</v>
      </c>
      <c r="I96">
        <v>169</v>
      </c>
      <c r="J96">
        <v>148.69999999999999</v>
      </c>
      <c r="K96">
        <v>174.9</v>
      </c>
      <c r="L96">
        <v>121.9</v>
      </c>
      <c r="M96">
        <v>221</v>
      </c>
      <c r="N96">
        <v>178.7</v>
      </c>
      <c r="O96">
        <v>191.1</v>
      </c>
      <c r="P96">
        <v>176.8</v>
      </c>
      <c r="Q96">
        <v>199.9</v>
      </c>
      <c r="R96">
        <v>191.2</v>
      </c>
      <c r="S96">
        <v>187.9</v>
      </c>
      <c r="T96">
        <v>190.8</v>
      </c>
      <c r="U96" t="s">
        <v>32</v>
      </c>
      <c r="V96">
        <v>182.5</v>
      </c>
      <c r="W96">
        <v>179.8</v>
      </c>
      <c r="X96">
        <v>187.8</v>
      </c>
      <c r="Y96">
        <v>169.7</v>
      </c>
      <c r="Z96">
        <v>173.8</v>
      </c>
      <c r="AA96">
        <v>180.3</v>
      </c>
      <c r="AB96">
        <v>184.9</v>
      </c>
      <c r="AC96">
        <v>179.5</v>
      </c>
      <c r="AD96">
        <v>179.8</v>
      </c>
    </row>
    <row r="97" spans="1:30" x14ac:dyDescent="0.25">
      <c r="A97" t="s">
        <v>30</v>
      </c>
      <c r="B97">
        <v>2015</v>
      </c>
      <c r="C97" t="s">
        <v>41</v>
      </c>
      <c r="D97">
        <v>124.7</v>
      </c>
      <c r="E97">
        <v>131.30000000000001</v>
      </c>
      <c r="F97">
        <v>121.3</v>
      </c>
      <c r="G97">
        <v>128.80000000000001</v>
      </c>
      <c r="H97">
        <v>114</v>
      </c>
      <c r="I97">
        <v>134.19999999999999</v>
      </c>
      <c r="J97">
        <v>153.6</v>
      </c>
      <c r="K97">
        <v>137.9</v>
      </c>
      <c r="L97">
        <v>93.1</v>
      </c>
      <c r="M97">
        <v>123.9</v>
      </c>
      <c r="N97">
        <v>121.5</v>
      </c>
      <c r="O97">
        <v>132.5</v>
      </c>
      <c r="P97">
        <v>129.80000000000001</v>
      </c>
      <c r="Q97">
        <v>130.1</v>
      </c>
      <c r="R97">
        <v>129.5</v>
      </c>
      <c r="S97">
        <v>126.3</v>
      </c>
      <c r="T97">
        <v>129</v>
      </c>
      <c r="U97" t="s">
        <v>32</v>
      </c>
      <c r="V97">
        <v>123.8</v>
      </c>
      <c r="W97">
        <v>123.7</v>
      </c>
      <c r="X97">
        <v>121.1</v>
      </c>
      <c r="Y97">
        <v>113.6</v>
      </c>
      <c r="Z97">
        <v>118.5</v>
      </c>
      <c r="AA97">
        <v>123.6</v>
      </c>
      <c r="AB97">
        <v>112.5</v>
      </c>
      <c r="AC97">
        <v>118.2</v>
      </c>
      <c r="AD97">
        <v>126.1</v>
      </c>
    </row>
    <row r="98" spans="1:30" x14ac:dyDescent="0.25">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25">
      <c r="A99" t="s">
        <v>30</v>
      </c>
      <c r="B99">
        <v>2015</v>
      </c>
      <c r="C99" t="s">
        <v>43</v>
      </c>
      <c r="D99">
        <v>125.6</v>
      </c>
      <c r="E99">
        <v>130.4</v>
      </c>
      <c r="F99">
        <v>120.8</v>
      </c>
      <c r="G99">
        <v>129.4</v>
      </c>
      <c r="H99">
        <v>115.8</v>
      </c>
      <c r="I99">
        <v>133.19999999999999</v>
      </c>
      <c r="J99">
        <v>157.69999999999999</v>
      </c>
      <c r="K99">
        <v>154.19999999999999</v>
      </c>
      <c r="L99">
        <v>93.7</v>
      </c>
      <c r="M99">
        <v>126.6</v>
      </c>
      <c r="N99">
        <v>122.3</v>
      </c>
      <c r="O99">
        <v>133.1</v>
      </c>
      <c r="P99">
        <v>131.80000000000001</v>
      </c>
      <c r="Q99">
        <v>131.5</v>
      </c>
      <c r="R99">
        <v>131.1</v>
      </c>
      <c r="S99">
        <v>127.3</v>
      </c>
      <c r="T99">
        <v>130.6</v>
      </c>
      <c r="U99" t="s">
        <v>32</v>
      </c>
      <c r="V99">
        <v>124.4</v>
      </c>
      <c r="W99">
        <v>125.1</v>
      </c>
      <c r="X99">
        <v>122</v>
      </c>
      <c r="Y99">
        <v>113.8</v>
      </c>
      <c r="Z99">
        <v>120.1</v>
      </c>
      <c r="AA99">
        <v>125.1</v>
      </c>
      <c r="AB99">
        <v>114.2</v>
      </c>
      <c r="AC99">
        <v>119.2</v>
      </c>
      <c r="AD99">
        <v>127.7</v>
      </c>
    </row>
    <row r="100" spans="1:30" x14ac:dyDescent="0.25">
      <c r="A100" t="s">
        <v>30</v>
      </c>
      <c r="B100">
        <v>2015</v>
      </c>
      <c r="C100" t="s">
        <v>45</v>
      </c>
      <c r="D100">
        <v>126.1</v>
      </c>
      <c r="E100">
        <v>130.6</v>
      </c>
      <c r="F100">
        <v>121.7</v>
      </c>
      <c r="G100">
        <v>129.5</v>
      </c>
      <c r="H100">
        <v>117.8</v>
      </c>
      <c r="I100">
        <v>132.1</v>
      </c>
      <c r="J100">
        <v>155.19999999999999</v>
      </c>
      <c r="K100">
        <v>160.80000000000001</v>
      </c>
      <c r="L100">
        <v>94.5</v>
      </c>
      <c r="M100">
        <v>128.30000000000001</v>
      </c>
      <c r="N100">
        <v>123.1</v>
      </c>
      <c r="O100">
        <v>134.19999999999999</v>
      </c>
      <c r="P100">
        <v>132.4</v>
      </c>
      <c r="Q100">
        <v>132.19999999999999</v>
      </c>
      <c r="R100">
        <v>132.1</v>
      </c>
      <c r="S100">
        <v>128.19999999999999</v>
      </c>
      <c r="T100">
        <v>131.5</v>
      </c>
      <c r="U100" t="s">
        <v>32</v>
      </c>
      <c r="V100">
        <v>125.6</v>
      </c>
      <c r="W100">
        <v>125.6</v>
      </c>
      <c r="X100">
        <v>122.6</v>
      </c>
      <c r="Y100">
        <v>114</v>
      </c>
      <c r="Z100">
        <v>120.9</v>
      </c>
      <c r="AA100">
        <v>125.8</v>
      </c>
      <c r="AB100">
        <v>114.2</v>
      </c>
      <c r="AC100">
        <v>119.6</v>
      </c>
      <c r="AD100">
        <v>128.30000000000001</v>
      </c>
    </row>
    <row r="101" spans="1:30" x14ac:dyDescent="0.25">
      <c r="A101" t="s">
        <v>30</v>
      </c>
      <c r="B101">
        <v>2015</v>
      </c>
      <c r="C101" t="s">
        <v>46</v>
      </c>
      <c r="D101">
        <v>126.3</v>
      </c>
      <c r="E101">
        <v>131.30000000000001</v>
      </c>
      <c r="F101">
        <v>123.3</v>
      </c>
      <c r="G101">
        <v>129.80000000000001</v>
      </c>
      <c r="H101">
        <v>118.3</v>
      </c>
      <c r="I101">
        <v>131.6</v>
      </c>
      <c r="J101">
        <v>145.5</v>
      </c>
      <c r="K101">
        <v>162.1</v>
      </c>
      <c r="L101">
        <v>95.4</v>
      </c>
      <c r="M101">
        <v>128.9</v>
      </c>
      <c r="N101">
        <v>123.3</v>
      </c>
      <c r="O101">
        <v>135.1</v>
      </c>
      <c r="P101">
        <v>131.4</v>
      </c>
      <c r="Q101">
        <v>133.1</v>
      </c>
      <c r="R101">
        <v>132.5</v>
      </c>
      <c r="S101">
        <v>128.5</v>
      </c>
      <c r="T101">
        <v>131.9</v>
      </c>
      <c r="U101" t="s">
        <v>32</v>
      </c>
      <c r="V101">
        <v>125.7</v>
      </c>
      <c r="W101">
        <v>126</v>
      </c>
      <c r="X101">
        <v>123.1</v>
      </c>
      <c r="Y101">
        <v>114</v>
      </c>
      <c r="Z101">
        <v>121.6</v>
      </c>
      <c r="AA101">
        <v>125.6</v>
      </c>
      <c r="AB101">
        <v>114.1</v>
      </c>
      <c r="AC101">
        <v>119.8</v>
      </c>
      <c r="AD101">
        <v>127.9</v>
      </c>
    </row>
    <row r="102" spans="1:30" x14ac:dyDescent="0.25">
      <c r="A102" t="s">
        <v>30</v>
      </c>
      <c r="B102">
        <v>2014</v>
      </c>
      <c r="C102" t="s">
        <v>31</v>
      </c>
      <c r="D102">
        <v>118.9</v>
      </c>
      <c r="E102">
        <v>117.1</v>
      </c>
      <c r="F102">
        <v>120.5</v>
      </c>
      <c r="G102">
        <v>114.4</v>
      </c>
      <c r="H102">
        <v>109</v>
      </c>
      <c r="I102">
        <v>115.5</v>
      </c>
      <c r="J102">
        <v>123.9</v>
      </c>
      <c r="K102">
        <v>109.6</v>
      </c>
      <c r="L102">
        <v>101.8</v>
      </c>
      <c r="M102">
        <v>110.2</v>
      </c>
      <c r="N102">
        <v>112.4</v>
      </c>
      <c r="O102">
        <v>117.3</v>
      </c>
      <c r="P102">
        <v>116</v>
      </c>
      <c r="Q102">
        <v>114</v>
      </c>
      <c r="R102">
        <v>116.5</v>
      </c>
      <c r="S102">
        <v>114.5</v>
      </c>
      <c r="T102">
        <v>116.2</v>
      </c>
      <c r="U102" t="s">
        <v>32</v>
      </c>
      <c r="V102">
        <v>113</v>
      </c>
      <c r="W102">
        <v>112.6</v>
      </c>
      <c r="X102">
        <v>110.6</v>
      </c>
      <c r="Y102">
        <v>110.5</v>
      </c>
      <c r="Z102">
        <v>109.6</v>
      </c>
      <c r="AA102">
        <v>111.8</v>
      </c>
      <c r="AB102">
        <v>108.3</v>
      </c>
      <c r="AC102">
        <v>110.6</v>
      </c>
      <c r="AD102">
        <v>114.2</v>
      </c>
    </row>
    <row r="103" spans="1:30" x14ac:dyDescent="0.25">
      <c r="A103" t="s">
        <v>30</v>
      </c>
      <c r="B103">
        <v>2014</v>
      </c>
      <c r="C103" t="s">
        <v>35</v>
      </c>
      <c r="D103">
        <v>119.4</v>
      </c>
      <c r="E103">
        <v>117.7</v>
      </c>
      <c r="F103">
        <v>121.2</v>
      </c>
      <c r="G103">
        <v>115</v>
      </c>
      <c r="H103">
        <v>109</v>
      </c>
      <c r="I103">
        <v>116.6</v>
      </c>
      <c r="J103">
        <v>116</v>
      </c>
      <c r="K103">
        <v>109.8</v>
      </c>
      <c r="L103">
        <v>101.1</v>
      </c>
      <c r="M103">
        <v>110.4</v>
      </c>
      <c r="N103">
        <v>112.9</v>
      </c>
      <c r="O103">
        <v>117.8</v>
      </c>
      <c r="P103">
        <v>115.3</v>
      </c>
      <c r="Q103">
        <v>114.2</v>
      </c>
      <c r="R103">
        <v>117.1</v>
      </c>
      <c r="S103">
        <v>114.5</v>
      </c>
      <c r="T103">
        <v>116.7</v>
      </c>
      <c r="U103" t="s">
        <v>32</v>
      </c>
      <c r="V103">
        <v>113.2</v>
      </c>
      <c r="W103">
        <v>112.9</v>
      </c>
      <c r="X103">
        <v>110.9</v>
      </c>
      <c r="Y103">
        <v>110.8</v>
      </c>
      <c r="Z103">
        <v>109.9</v>
      </c>
      <c r="AA103">
        <v>112</v>
      </c>
      <c r="AB103">
        <v>108.7</v>
      </c>
      <c r="AC103">
        <v>110.9</v>
      </c>
      <c r="AD103">
        <v>114</v>
      </c>
    </row>
    <row r="104" spans="1:30" x14ac:dyDescent="0.25">
      <c r="A104" t="s">
        <v>30</v>
      </c>
      <c r="B104">
        <v>2014</v>
      </c>
      <c r="C104" t="s">
        <v>36</v>
      </c>
      <c r="D104">
        <v>120.1</v>
      </c>
      <c r="E104">
        <v>118.1</v>
      </c>
      <c r="F104">
        <v>120.7</v>
      </c>
      <c r="G104">
        <v>116.1</v>
      </c>
      <c r="H104">
        <v>109.3</v>
      </c>
      <c r="I104">
        <v>119.6</v>
      </c>
      <c r="J104">
        <v>117.9</v>
      </c>
      <c r="K104">
        <v>110.2</v>
      </c>
      <c r="L104">
        <v>101.2</v>
      </c>
      <c r="M104">
        <v>110.7</v>
      </c>
      <c r="N104">
        <v>113</v>
      </c>
      <c r="O104">
        <v>118.3</v>
      </c>
      <c r="P104">
        <v>116.2</v>
      </c>
      <c r="Q104">
        <v>114.6</v>
      </c>
      <c r="R104">
        <v>117.5</v>
      </c>
      <c r="S104">
        <v>114.9</v>
      </c>
      <c r="T104">
        <v>117.2</v>
      </c>
      <c r="U104" t="s">
        <v>32</v>
      </c>
      <c r="V104">
        <v>113.4</v>
      </c>
      <c r="W104">
        <v>113.4</v>
      </c>
      <c r="X104">
        <v>111.4</v>
      </c>
      <c r="Y104">
        <v>111.2</v>
      </c>
      <c r="Z104">
        <v>110.2</v>
      </c>
      <c r="AA104">
        <v>112.4</v>
      </c>
      <c r="AB104">
        <v>108.9</v>
      </c>
      <c r="AC104">
        <v>111.3</v>
      </c>
      <c r="AD104">
        <v>114.6</v>
      </c>
    </row>
    <row r="105" spans="1:30" x14ac:dyDescent="0.25">
      <c r="A105" t="s">
        <v>30</v>
      </c>
      <c r="B105">
        <v>2014</v>
      </c>
      <c r="C105" t="s">
        <v>37</v>
      </c>
      <c r="D105">
        <v>120.2</v>
      </c>
      <c r="E105">
        <v>118.9</v>
      </c>
      <c r="F105">
        <v>118.1</v>
      </c>
      <c r="G105">
        <v>117</v>
      </c>
      <c r="H105">
        <v>109.7</v>
      </c>
      <c r="I105">
        <v>125.5</v>
      </c>
      <c r="J105">
        <v>120.5</v>
      </c>
      <c r="K105">
        <v>111</v>
      </c>
      <c r="L105">
        <v>102.6</v>
      </c>
      <c r="M105">
        <v>111.2</v>
      </c>
      <c r="N105">
        <v>113.5</v>
      </c>
      <c r="O105">
        <v>118.7</v>
      </c>
      <c r="P105">
        <v>117.2</v>
      </c>
      <c r="Q105">
        <v>115.4</v>
      </c>
      <c r="R105">
        <v>118.1</v>
      </c>
      <c r="S105">
        <v>116.1</v>
      </c>
      <c r="T105">
        <v>117.8</v>
      </c>
      <c r="U105" t="s">
        <v>32</v>
      </c>
      <c r="V105">
        <v>113.4</v>
      </c>
      <c r="W105">
        <v>113.7</v>
      </c>
      <c r="X105">
        <v>111.8</v>
      </c>
      <c r="Y105">
        <v>111.2</v>
      </c>
      <c r="Z105">
        <v>110.5</v>
      </c>
      <c r="AA105">
        <v>113</v>
      </c>
      <c r="AB105">
        <v>108.9</v>
      </c>
      <c r="AC105">
        <v>111.5</v>
      </c>
      <c r="AD105">
        <v>115.4</v>
      </c>
    </row>
    <row r="106" spans="1:30" x14ac:dyDescent="0.25">
      <c r="A106" t="s">
        <v>30</v>
      </c>
      <c r="B106">
        <v>2014</v>
      </c>
      <c r="C106" t="s">
        <v>38</v>
      </c>
      <c r="D106">
        <v>120.3</v>
      </c>
      <c r="E106">
        <v>120.2</v>
      </c>
      <c r="F106">
        <v>116.9</v>
      </c>
      <c r="G106">
        <v>118</v>
      </c>
      <c r="H106">
        <v>110.1</v>
      </c>
      <c r="I106">
        <v>126.3</v>
      </c>
      <c r="J106">
        <v>123.9</v>
      </c>
      <c r="K106">
        <v>111.5</v>
      </c>
      <c r="L106">
        <v>103.5</v>
      </c>
      <c r="M106">
        <v>111.6</v>
      </c>
      <c r="N106">
        <v>114.2</v>
      </c>
      <c r="O106">
        <v>119.2</v>
      </c>
      <c r="P106">
        <v>118.2</v>
      </c>
      <c r="Q106">
        <v>116.3</v>
      </c>
      <c r="R106">
        <v>118.7</v>
      </c>
      <c r="S106">
        <v>116.8</v>
      </c>
      <c r="T106">
        <v>118.5</v>
      </c>
      <c r="U106" t="s">
        <v>32</v>
      </c>
      <c r="V106">
        <v>113.4</v>
      </c>
      <c r="W106">
        <v>114.1</v>
      </c>
      <c r="X106">
        <v>112.1</v>
      </c>
      <c r="Y106">
        <v>111.4</v>
      </c>
      <c r="Z106">
        <v>110.9</v>
      </c>
      <c r="AA106">
        <v>113.1</v>
      </c>
      <c r="AB106">
        <v>108.9</v>
      </c>
      <c r="AC106">
        <v>111.8</v>
      </c>
      <c r="AD106">
        <v>116</v>
      </c>
    </row>
    <row r="107" spans="1:30" x14ac:dyDescent="0.25">
      <c r="A107" t="s">
        <v>30</v>
      </c>
      <c r="B107">
        <v>2014</v>
      </c>
      <c r="C107" t="s">
        <v>39</v>
      </c>
      <c r="D107">
        <v>120.7</v>
      </c>
      <c r="E107">
        <v>121.6</v>
      </c>
      <c r="F107">
        <v>116.1</v>
      </c>
      <c r="G107">
        <v>119.3</v>
      </c>
      <c r="H107">
        <v>110.3</v>
      </c>
      <c r="I107">
        <v>125.8</v>
      </c>
      <c r="J107">
        <v>129.30000000000001</v>
      </c>
      <c r="K107">
        <v>112.2</v>
      </c>
      <c r="L107">
        <v>103.6</v>
      </c>
      <c r="M107">
        <v>112.3</v>
      </c>
      <c r="N107">
        <v>114.9</v>
      </c>
      <c r="O107">
        <v>120.1</v>
      </c>
      <c r="P107">
        <v>119.5</v>
      </c>
      <c r="Q107">
        <v>117.3</v>
      </c>
      <c r="R107">
        <v>119.7</v>
      </c>
      <c r="S107">
        <v>117.3</v>
      </c>
      <c r="T107">
        <v>119.3</v>
      </c>
      <c r="U107" t="s">
        <v>32</v>
      </c>
      <c r="V107">
        <v>114.4</v>
      </c>
      <c r="W107">
        <v>114.9</v>
      </c>
      <c r="X107">
        <v>112.8</v>
      </c>
      <c r="Y107">
        <v>112.2</v>
      </c>
      <c r="Z107">
        <v>111.4</v>
      </c>
      <c r="AA107">
        <v>114.3</v>
      </c>
      <c r="AB107">
        <v>108</v>
      </c>
      <c r="AC107">
        <v>112.3</v>
      </c>
      <c r="AD107">
        <v>117</v>
      </c>
    </row>
    <row r="108" spans="1:30" x14ac:dyDescent="0.25">
      <c r="A108" t="s">
        <v>30</v>
      </c>
      <c r="B108">
        <v>2014</v>
      </c>
      <c r="C108" t="s">
        <v>40</v>
      </c>
      <c r="D108">
        <v>121.7</v>
      </c>
      <c r="E108">
        <v>122.5</v>
      </c>
      <c r="F108">
        <v>117.7</v>
      </c>
      <c r="G108">
        <v>120.6</v>
      </c>
      <c r="H108">
        <v>110.4</v>
      </c>
      <c r="I108">
        <v>129.1</v>
      </c>
      <c r="J108">
        <v>150.1</v>
      </c>
      <c r="K108">
        <v>113.2</v>
      </c>
      <c r="L108">
        <v>104.8</v>
      </c>
      <c r="M108">
        <v>113.3</v>
      </c>
      <c r="N108">
        <v>115.6</v>
      </c>
      <c r="O108">
        <v>120.9</v>
      </c>
      <c r="P108">
        <v>123.3</v>
      </c>
      <c r="Q108">
        <v>118</v>
      </c>
      <c r="R108">
        <v>120.7</v>
      </c>
      <c r="S108">
        <v>118.3</v>
      </c>
      <c r="T108">
        <v>120.3</v>
      </c>
      <c r="U108" t="s">
        <v>32</v>
      </c>
      <c r="V108">
        <v>115.3</v>
      </c>
      <c r="W108">
        <v>115.4</v>
      </c>
      <c r="X108">
        <v>113.4</v>
      </c>
      <c r="Y108">
        <v>113.2</v>
      </c>
      <c r="Z108">
        <v>111.8</v>
      </c>
      <c r="AA108">
        <v>115.5</v>
      </c>
      <c r="AB108">
        <v>108.8</v>
      </c>
      <c r="AC108">
        <v>113.1</v>
      </c>
      <c r="AD108">
        <v>119.5</v>
      </c>
    </row>
    <row r="109" spans="1:30" x14ac:dyDescent="0.25">
      <c r="A109" t="s">
        <v>30</v>
      </c>
      <c r="B109">
        <v>2014</v>
      </c>
      <c r="C109" t="s">
        <v>41</v>
      </c>
      <c r="D109">
        <v>121.8</v>
      </c>
      <c r="E109">
        <v>122.8</v>
      </c>
      <c r="F109">
        <v>117.8</v>
      </c>
      <c r="G109">
        <v>121.9</v>
      </c>
      <c r="H109">
        <v>110.6</v>
      </c>
      <c r="I109">
        <v>129.69999999999999</v>
      </c>
      <c r="J109">
        <v>161.1</v>
      </c>
      <c r="K109">
        <v>114.1</v>
      </c>
      <c r="L109">
        <v>105.1</v>
      </c>
      <c r="M109">
        <v>114.6</v>
      </c>
      <c r="N109">
        <v>115.8</v>
      </c>
      <c r="O109">
        <v>121.7</v>
      </c>
      <c r="P109">
        <v>125.3</v>
      </c>
      <c r="Q109">
        <v>118.8</v>
      </c>
      <c r="R109">
        <v>120.9</v>
      </c>
      <c r="S109">
        <v>118.8</v>
      </c>
      <c r="T109">
        <v>120.7</v>
      </c>
      <c r="U109" t="s">
        <v>32</v>
      </c>
      <c r="V109">
        <v>115.4</v>
      </c>
      <c r="W109">
        <v>115.9</v>
      </c>
      <c r="X109">
        <v>114</v>
      </c>
      <c r="Y109">
        <v>113.2</v>
      </c>
      <c r="Z109">
        <v>112.2</v>
      </c>
      <c r="AA109">
        <v>116.2</v>
      </c>
      <c r="AB109">
        <v>109.4</v>
      </c>
      <c r="AC109">
        <v>113.5</v>
      </c>
      <c r="AD109">
        <v>120.7</v>
      </c>
    </row>
    <row r="110" spans="1:30" x14ac:dyDescent="0.25">
      <c r="A110" t="s">
        <v>30</v>
      </c>
      <c r="B110">
        <v>2014</v>
      </c>
      <c r="C110" t="s">
        <v>42</v>
      </c>
      <c r="D110">
        <v>122.3</v>
      </c>
      <c r="E110">
        <v>122.4</v>
      </c>
      <c r="F110">
        <v>117.8</v>
      </c>
      <c r="G110">
        <v>122.7</v>
      </c>
      <c r="H110">
        <v>110.4</v>
      </c>
      <c r="I110">
        <v>129.80000000000001</v>
      </c>
      <c r="J110">
        <v>158.80000000000001</v>
      </c>
      <c r="K110">
        <v>115</v>
      </c>
      <c r="L110">
        <v>104.7</v>
      </c>
      <c r="M110">
        <v>114.9</v>
      </c>
      <c r="N110">
        <v>116.5</v>
      </c>
      <c r="O110">
        <v>122.6</v>
      </c>
      <c r="P110">
        <v>125.3</v>
      </c>
      <c r="Q110">
        <v>119.5</v>
      </c>
      <c r="R110">
        <v>121.7</v>
      </c>
      <c r="S110">
        <v>119.2</v>
      </c>
      <c r="T110">
        <v>121.3</v>
      </c>
      <c r="U110" t="s">
        <v>32</v>
      </c>
      <c r="V110">
        <v>115.8</v>
      </c>
      <c r="W110">
        <v>116.7</v>
      </c>
      <c r="X110">
        <v>114.5</v>
      </c>
      <c r="Y110">
        <v>112.8</v>
      </c>
      <c r="Z110">
        <v>112.6</v>
      </c>
      <c r="AA110">
        <v>116.6</v>
      </c>
      <c r="AB110">
        <v>109.1</v>
      </c>
      <c r="AC110">
        <v>113.7</v>
      </c>
      <c r="AD110">
        <v>120.9</v>
      </c>
    </row>
    <row r="111" spans="1:30" x14ac:dyDescent="0.25">
      <c r="A111" t="s">
        <v>30</v>
      </c>
      <c r="B111">
        <v>2014</v>
      </c>
      <c r="C111" t="s">
        <v>43</v>
      </c>
      <c r="D111">
        <v>122.6</v>
      </c>
      <c r="E111">
        <v>122.5</v>
      </c>
      <c r="F111">
        <v>118.3</v>
      </c>
      <c r="G111">
        <v>123.2</v>
      </c>
      <c r="H111">
        <v>110.5</v>
      </c>
      <c r="I111">
        <v>128.9</v>
      </c>
      <c r="J111">
        <v>155.30000000000001</v>
      </c>
      <c r="K111">
        <v>115.5</v>
      </c>
      <c r="L111">
        <v>104</v>
      </c>
      <c r="M111">
        <v>115.3</v>
      </c>
      <c r="N111">
        <v>116.8</v>
      </c>
      <c r="O111">
        <v>123.2</v>
      </c>
      <c r="P111">
        <v>125.1</v>
      </c>
      <c r="Q111">
        <v>120</v>
      </c>
      <c r="R111">
        <v>122.7</v>
      </c>
      <c r="S111">
        <v>120.3</v>
      </c>
      <c r="T111">
        <v>122.3</v>
      </c>
      <c r="U111" t="s">
        <v>32</v>
      </c>
      <c r="V111">
        <v>116.4</v>
      </c>
      <c r="W111">
        <v>117.5</v>
      </c>
      <c r="X111">
        <v>115.3</v>
      </c>
      <c r="Y111">
        <v>112.6</v>
      </c>
      <c r="Z111">
        <v>113</v>
      </c>
      <c r="AA111">
        <v>116.9</v>
      </c>
      <c r="AB111">
        <v>109.3</v>
      </c>
      <c r="AC111">
        <v>114</v>
      </c>
      <c r="AD111">
        <v>121</v>
      </c>
    </row>
    <row r="112" spans="1:30" x14ac:dyDescent="0.25">
      <c r="A112" t="s">
        <v>30</v>
      </c>
      <c r="B112">
        <v>2014</v>
      </c>
      <c r="C112" t="s">
        <v>45</v>
      </c>
      <c r="D112">
        <v>122.7</v>
      </c>
      <c r="E112">
        <v>122.6</v>
      </c>
      <c r="F112">
        <v>119.9</v>
      </c>
      <c r="G112">
        <v>124</v>
      </c>
      <c r="H112">
        <v>110.5</v>
      </c>
      <c r="I112">
        <v>128.80000000000001</v>
      </c>
      <c r="J112">
        <v>152</v>
      </c>
      <c r="K112">
        <v>116.2</v>
      </c>
      <c r="L112">
        <v>103.3</v>
      </c>
      <c r="M112">
        <v>115.8</v>
      </c>
      <c r="N112">
        <v>116.8</v>
      </c>
      <c r="O112">
        <v>124.5</v>
      </c>
      <c r="P112">
        <v>124.9</v>
      </c>
      <c r="Q112">
        <v>120.8</v>
      </c>
      <c r="R112">
        <v>123.3</v>
      </c>
      <c r="S112">
        <v>120.5</v>
      </c>
      <c r="T112">
        <v>122.9</v>
      </c>
      <c r="U112" t="s">
        <v>32</v>
      </c>
      <c r="V112">
        <v>117.3</v>
      </c>
      <c r="W112">
        <v>118.1</v>
      </c>
      <c r="X112">
        <v>115.9</v>
      </c>
      <c r="Y112">
        <v>112</v>
      </c>
      <c r="Z112">
        <v>113.3</v>
      </c>
      <c r="AA112">
        <v>117.2</v>
      </c>
      <c r="AB112">
        <v>108.8</v>
      </c>
      <c r="AC112">
        <v>114.1</v>
      </c>
      <c r="AD112">
        <v>121.1</v>
      </c>
    </row>
    <row r="113" spans="1:30" x14ac:dyDescent="0.25">
      <c r="A113" t="s">
        <v>30</v>
      </c>
      <c r="B113">
        <v>2014</v>
      </c>
      <c r="C113" t="s">
        <v>46</v>
      </c>
      <c r="D113">
        <v>122.4</v>
      </c>
      <c r="E113">
        <v>122.4</v>
      </c>
      <c r="F113">
        <v>121.8</v>
      </c>
      <c r="G113">
        <v>124.2</v>
      </c>
      <c r="H113">
        <v>110.2</v>
      </c>
      <c r="I113">
        <v>128.6</v>
      </c>
      <c r="J113">
        <v>140.30000000000001</v>
      </c>
      <c r="K113">
        <v>116.3</v>
      </c>
      <c r="L113">
        <v>102</v>
      </c>
      <c r="M113">
        <v>116</v>
      </c>
      <c r="N113">
        <v>117.3</v>
      </c>
      <c r="O113">
        <v>124.8</v>
      </c>
      <c r="P113">
        <v>123.3</v>
      </c>
      <c r="Q113">
        <v>121.7</v>
      </c>
      <c r="R113">
        <v>123.8</v>
      </c>
      <c r="S113">
        <v>120.6</v>
      </c>
      <c r="T113">
        <v>123.3</v>
      </c>
      <c r="U113" t="s">
        <v>32</v>
      </c>
      <c r="V113">
        <v>117.4</v>
      </c>
      <c r="W113">
        <v>118.2</v>
      </c>
      <c r="X113">
        <v>116.2</v>
      </c>
      <c r="Y113">
        <v>111.5</v>
      </c>
      <c r="Z113">
        <v>113.3</v>
      </c>
      <c r="AA113">
        <v>117.7</v>
      </c>
      <c r="AB113">
        <v>109.4</v>
      </c>
      <c r="AC113">
        <v>114.2</v>
      </c>
      <c r="AD113">
        <v>120.3</v>
      </c>
    </row>
    <row r="114" spans="1:30" x14ac:dyDescent="0.25">
      <c r="A114" t="s">
        <v>30</v>
      </c>
      <c r="B114">
        <v>2013</v>
      </c>
      <c r="C114" t="s">
        <v>31</v>
      </c>
      <c r="D114">
        <v>107.5</v>
      </c>
      <c r="E114">
        <v>106.3</v>
      </c>
      <c r="F114">
        <v>108.1</v>
      </c>
      <c r="G114">
        <v>104.9</v>
      </c>
      <c r="H114">
        <v>106.1</v>
      </c>
      <c r="I114">
        <v>103.9</v>
      </c>
      <c r="J114">
        <v>101.9</v>
      </c>
      <c r="K114">
        <v>106.1</v>
      </c>
      <c r="L114">
        <v>106.8</v>
      </c>
      <c r="M114">
        <v>103.1</v>
      </c>
      <c r="N114">
        <v>104.8</v>
      </c>
      <c r="O114">
        <v>106.7</v>
      </c>
      <c r="P114">
        <v>105.5</v>
      </c>
      <c r="Q114">
        <v>105.1</v>
      </c>
      <c r="R114">
        <v>106.5</v>
      </c>
      <c r="S114">
        <v>105.8</v>
      </c>
      <c r="T114">
        <v>106.4</v>
      </c>
      <c r="U114" t="s">
        <v>32</v>
      </c>
      <c r="V114">
        <v>105.5</v>
      </c>
      <c r="W114">
        <v>104.8</v>
      </c>
      <c r="X114">
        <v>104</v>
      </c>
      <c r="Y114">
        <v>103.3</v>
      </c>
      <c r="Z114">
        <v>103.4</v>
      </c>
      <c r="AA114">
        <v>103.8</v>
      </c>
      <c r="AB114">
        <v>104.7</v>
      </c>
      <c r="AC114">
        <v>104</v>
      </c>
      <c r="AD114">
        <v>105.1</v>
      </c>
    </row>
    <row r="115" spans="1:30" x14ac:dyDescent="0.25">
      <c r="A115" t="s">
        <v>30</v>
      </c>
      <c r="B115">
        <v>2013</v>
      </c>
      <c r="C115" t="s">
        <v>35</v>
      </c>
      <c r="D115">
        <v>109.2</v>
      </c>
      <c r="E115">
        <v>108.7</v>
      </c>
      <c r="F115">
        <v>110.2</v>
      </c>
      <c r="G115">
        <v>105.4</v>
      </c>
      <c r="H115">
        <v>106.7</v>
      </c>
      <c r="I115">
        <v>104</v>
      </c>
      <c r="J115">
        <v>102.4</v>
      </c>
      <c r="K115">
        <v>105.9</v>
      </c>
      <c r="L115">
        <v>105.7</v>
      </c>
      <c r="M115">
        <v>103.1</v>
      </c>
      <c r="N115">
        <v>105.1</v>
      </c>
      <c r="O115">
        <v>107.7</v>
      </c>
      <c r="P115">
        <v>106.3</v>
      </c>
      <c r="Q115">
        <v>105.6</v>
      </c>
      <c r="R115">
        <v>107.1</v>
      </c>
      <c r="S115">
        <v>106.3</v>
      </c>
      <c r="T115">
        <v>107</v>
      </c>
      <c r="U115" t="s">
        <v>32</v>
      </c>
      <c r="V115">
        <v>106.2</v>
      </c>
      <c r="W115">
        <v>105.2</v>
      </c>
      <c r="X115">
        <v>104.4</v>
      </c>
      <c r="Y115">
        <v>103.9</v>
      </c>
      <c r="Z115">
        <v>104</v>
      </c>
      <c r="AA115">
        <v>104.1</v>
      </c>
      <c r="AB115">
        <v>104.6</v>
      </c>
      <c r="AC115">
        <v>104.4</v>
      </c>
      <c r="AD115">
        <v>105.8</v>
      </c>
    </row>
    <row r="116" spans="1:30" x14ac:dyDescent="0.25">
      <c r="A116" t="s">
        <v>30</v>
      </c>
      <c r="B116">
        <v>2013</v>
      </c>
      <c r="C116" t="s">
        <v>36</v>
      </c>
      <c r="D116">
        <v>110.2</v>
      </c>
      <c r="E116">
        <v>108.8</v>
      </c>
      <c r="F116">
        <v>109.9</v>
      </c>
      <c r="G116">
        <v>105.6</v>
      </c>
      <c r="H116">
        <v>106.2</v>
      </c>
      <c r="I116">
        <v>105.7</v>
      </c>
      <c r="J116">
        <v>101.4</v>
      </c>
      <c r="K116">
        <v>105.7</v>
      </c>
      <c r="L116">
        <v>105</v>
      </c>
      <c r="M116">
        <v>103.3</v>
      </c>
      <c r="N116">
        <v>105.6</v>
      </c>
      <c r="O116">
        <v>108.2</v>
      </c>
      <c r="P116">
        <v>106.6</v>
      </c>
      <c r="Q116">
        <v>106.5</v>
      </c>
      <c r="R116">
        <v>107.6</v>
      </c>
      <c r="S116">
        <v>106.8</v>
      </c>
      <c r="T116">
        <v>107.5</v>
      </c>
      <c r="U116" t="s">
        <v>32</v>
      </c>
      <c r="V116">
        <v>106.1</v>
      </c>
      <c r="W116">
        <v>105.6</v>
      </c>
      <c r="X116">
        <v>104.7</v>
      </c>
      <c r="Y116">
        <v>104.6</v>
      </c>
      <c r="Z116">
        <v>104</v>
      </c>
      <c r="AA116">
        <v>104.3</v>
      </c>
      <c r="AB116">
        <v>104.3</v>
      </c>
      <c r="AC116">
        <v>104.6</v>
      </c>
      <c r="AD116">
        <v>106</v>
      </c>
    </row>
    <row r="117" spans="1:30" x14ac:dyDescent="0.25">
      <c r="A117" t="s">
        <v>30</v>
      </c>
      <c r="B117">
        <v>2013</v>
      </c>
      <c r="C117" t="s">
        <v>37</v>
      </c>
      <c r="D117">
        <v>110.2</v>
      </c>
      <c r="E117">
        <v>109.5</v>
      </c>
      <c r="F117">
        <v>106.9</v>
      </c>
      <c r="G117">
        <v>106.3</v>
      </c>
      <c r="H117">
        <v>105.7</v>
      </c>
      <c r="I117">
        <v>108.3</v>
      </c>
      <c r="J117">
        <v>103.4</v>
      </c>
      <c r="K117">
        <v>105.7</v>
      </c>
      <c r="L117">
        <v>104.2</v>
      </c>
      <c r="M117">
        <v>103.2</v>
      </c>
      <c r="N117">
        <v>106.5</v>
      </c>
      <c r="O117">
        <v>108.8</v>
      </c>
      <c r="P117">
        <v>107.1</v>
      </c>
      <c r="Q117">
        <v>107.1</v>
      </c>
      <c r="R117">
        <v>108.1</v>
      </c>
      <c r="S117">
        <v>107.4</v>
      </c>
      <c r="T117">
        <v>108</v>
      </c>
      <c r="U117" t="s">
        <v>32</v>
      </c>
      <c r="V117">
        <v>106.5</v>
      </c>
      <c r="W117">
        <v>106.1</v>
      </c>
      <c r="X117">
        <v>105.1</v>
      </c>
      <c r="Y117">
        <v>104.4</v>
      </c>
      <c r="Z117">
        <v>104.5</v>
      </c>
      <c r="AA117">
        <v>104.8</v>
      </c>
      <c r="AB117">
        <v>102.7</v>
      </c>
      <c r="AC117">
        <v>104.6</v>
      </c>
      <c r="AD117">
        <v>106.4</v>
      </c>
    </row>
    <row r="118" spans="1:30" x14ac:dyDescent="0.25">
      <c r="A118" t="s">
        <v>30</v>
      </c>
      <c r="B118">
        <v>2013</v>
      </c>
      <c r="C118" t="s">
        <v>38</v>
      </c>
      <c r="D118">
        <v>110.9</v>
      </c>
      <c r="E118">
        <v>109.8</v>
      </c>
      <c r="F118">
        <v>105.9</v>
      </c>
      <c r="G118">
        <v>107.5</v>
      </c>
      <c r="H118">
        <v>105.3</v>
      </c>
      <c r="I118">
        <v>108.1</v>
      </c>
      <c r="J118">
        <v>107.3</v>
      </c>
      <c r="K118">
        <v>106.1</v>
      </c>
      <c r="L118">
        <v>103.7</v>
      </c>
      <c r="M118">
        <v>104</v>
      </c>
      <c r="N118">
        <v>107.4</v>
      </c>
      <c r="O118">
        <v>109.9</v>
      </c>
      <c r="P118">
        <v>108.1</v>
      </c>
      <c r="Q118">
        <v>108.1</v>
      </c>
      <c r="R118">
        <v>108.8</v>
      </c>
      <c r="S118">
        <v>107.9</v>
      </c>
      <c r="T118">
        <v>108.6</v>
      </c>
      <c r="U118" t="s">
        <v>32</v>
      </c>
      <c r="V118">
        <v>107.5</v>
      </c>
      <c r="W118">
        <v>106.8</v>
      </c>
      <c r="X118">
        <v>105.7</v>
      </c>
      <c r="Y118">
        <v>104.1</v>
      </c>
      <c r="Z118">
        <v>105</v>
      </c>
      <c r="AA118">
        <v>105.5</v>
      </c>
      <c r="AB118">
        <v>102.1</v>
      </c>
      <c r="AC118">
        <v>104.8</v>
      </c>
      <c r="AD118">
        <v>107.2</v>
      </c>
    </row>
    <row r="119" spans="1:30" x14ac:dyDescent="0.25">
      <c r="A119" t="s">
        <v>30</v>
      </c>
      <c r="B119">
        <v>2013</v>
      </c>
      <c r="C119" t="s">
        <v>39</v>
      </c>
      <c r="D119">
        <v>112.3</v>
      </c>
      <c r="E119">
        <v>112.1</v>
      </c>
      <c r="F119">
        <v>108.1</v>
      </c>
      <c r="G119">
        <v>108.3</v>
      </c>
      <c r="H119">
        <v>105.9</v>
      </c>
      <c r="I119">
        <v>109.2</v>
      </c>
      <c r="J119">
        <v>118</v>
      </c>
      <c r="K119">
        <v>106.8</v>
      </c>
      <c r="L119">
        <v>104.1</v>
      </c>
      <c r="M119">
        <v>105.4</v>
      </c>
      <c r="N119">
        <v>108.2</v>
      </c>
      <c r="O119">
        <v>111</v>
      </c>
      <c r="P119">
        <v>110.6</v>
      </c>
      <c r="Q119">
        <v>109</v>
      </c>
      <c r="R119">
        <v>109.7</v>
      </c>
      <c r="S119">
        <v>108.8</v>
      </c>
      <c r="T119">
        <v>109.5</v>
      </c>
      <c r="U119" t="s">
        <v>32</v>
      </c>
      <c r="V119">
        <v>108.5</v>
      </c>
      <c r="W119">
        <v>107.5</v>
      </c>
      <c r="X119">
        <v>106.3</v>
      </c>
      <c r="Y119">
        <v>105</v>
      </c>
      <c r="Z119">
        <v>105.6</v>
      </c>
      <c r="AA119">
        <v>106.5</v>
      </c>
      <c r="AB119">
        <v>102.5</v>
      </c>
      <c r="AC119">
        <v>105.5</v>
      </c>
      <c r="AD119">
        <v>108.9</v>
      </c>
    </row>
    <row r="120" spans="1:30" x14ac:dyDescent="0.25">
      <c r="A120" t="s">
        <v>30</v>
      </c>
      <c r="B120">
        <v>2013</v>
      </c>
      <c r="C120" t="s">
        <v>40</v>
      </c>
      <c r="D120">
        <v>113.4</v>
      </c>
      <c r="E120">
        <v>114.9</v>
      </c>
      <c r="F120">
        <v>110.5</v>
      </c>
      <c r="G120">
        <v>109.3</v>
      </c>
      <c r="H120">
        <v>106.2</v>
      </c>
      <c r="I120">
        <v>110.3</v>
      </c>
      <c r="J120">
        <v>129.19999999999999</v>
      </c>
      <c r="K120">
        <v>107.1</v>
      </c>
      <c r="L120">
        <v>104.3</v>
      </c>
      <c r="M120">
        <v>106.4</v>
      </c>
      <c r="N120">
        <v>109.1</v>
      </c>
      <c r="O120">
        <v>112.1</v>
      </c>
      <c r="P120">
        <v>113.1</v>
      </c>
      <c r="Q120">
        <v>109.8</v>
      </c>
      <c r="R120">
        <v>110.5</v>
      </c>
      <c r="S120">
        <v>109.5</v>
      </c>
      <c r="T120">
        <v>110.3</v>
      </c>
      <c r="U120" t="s">
        <v>32</v>
      </c>
      <c r="V120">
        <v>109.5</v>
      </c>
      <c r="W120">
        <v>108.3</v>
      </c>
      <c r="X120">
        <v>106.9</v>
      </c>
      <c r="Y120">
        <v>106.8</v>
      </c>
      <c r="Z120">
        <v>106.4</v>
      </c>
      <c r="AA120">
        <v>107.8</v>
      </c>
      <c r="AB120">
        <v>102.5</v>
      </c>
      <c r="AC120">
        <v>106.5</v>
      </c>
      <c r="AD120">
        <v>110.7</v>
      </c>
    </row>
    <row r="121" spans="1:30" x14ac:dyDescent="0.25">
      <c r="A121" t="s">
        <v>30</v>
      </c>
      <c r="B121">
        <v>2013</v>
      </c>
      <c r="C121" t="s">
        <v>41</v>
      </c>
      <c r="D121">
        <v>114.3</v>
      </c>
      <c r="E121">
        <v>115.4</v>
      </c>
      <c r="F121">
        <v>111.1</v>
      </c>
      <c r="G121">
        <v>110</v>
      </c>
      <c r="H121">
        <v>106.4</v>
      </c>
      <c r="I121">
        <v>110.8</v>
      </c>
      <c r="J121">
        <v>138.9</v>
      </c>
      <c r="K121">
        <v>107.4</v>
      </c>
      <c r="L121">
        <v>104.1</v>
      </c>
      <c r="M121">
        <v>106.9</v>
      </c>
      <c r="N121">
        <v>109.7</v>
      </c>
      <c r="O121">
        <v>112.6</v>
      </c>
      <c r="P121">
        <v>114.9</v>
      </c>
      <c r="Q121">
        <v>110.7</v>
      </c>
      <c r="R121">
        <v>111.3</v>
      </c>
      <c r="S121">
        <v>110.2</v>
      </c>
      <c r="T121">
        <v>111.1</v>
      </c>
      <c r="U121" t="s">
        <v>32</v>
      </c>
      <c r="V121">
        <v>109.9</v>
      </c>
      <c r="W121">
        <v>108.7</v>
      </c>
      <c r="X121">
        <v>107.5</v>
      </c>
      <c r="Y121">
        <v>107.8</v>
      </c>
      <c r="Z121">
        <v>106.8</v>
      </c>
      <c r="AA121">
        <v>108.7</v>
      </c>
      <c r="AB121">
        <v>105</v>
      </c>
      <c r="AC121">
        <v>107.5</v>
      </c>
      <c r="AD121">
        <v>112.1</v>
      </c>
    </row>
    <row r="122" spans="1:30" x14ac:dyDescent="0.25">
      <c r="A122" t="s">
        <v>30</v>
      </c>
      <c r="B122">
        <v>2013</v>
      </c>
      <c r="C122" t="s">
        <v>42</v>
      </c>
      <c r="D122">
        <v>115.4</v>
      </c>
      <c r="E122">
        <v>115.7</v>
      </c>
      <c r="F122">
        <v>111.7</v>
      </c>
      <c r="G122">
        <v>111</v>
      </c>
      <c r="H122">
        <v>107.4</v>
      </c>
      <c r="I122">
        <v>110.9</v>
      </c>
      <c r="J122">
        <v>154</v>
      </c>
      <c r="K122">
        <v>108.1</v>
      </c>
      <c r="L122">
        <v>104.2</v>
      </c>
      <c r="M122">
        <v>107.9</v>
      </c>
      <c r="N122">
        <v>110.4</v>
      </c>
      <c r="O122">
        <v>114</v>
      </c>
      <c r="P122">
        <v>117.8</v>
      </c>
      <c r="Q122">
        <v>111.7</v>
      </c>
      <c r="R122">
        <v>112.7</v>
      </c>
      <c r="S122">
        <v>111.4</v>
      </c>
      <c r="T122">
        <v>112.5</v>
      </c>
      <c r="U122" t="s">
        <v>32</v>
      </c>
      <c r="V122">
        <v>111.1</v>
      </c>
      <c r="W122">
        <v>109.6</v>
      </c>
      <c r="X122">
        <v>108.3</v>
      </c>
      <c r="Y122">
        <v>109.3</v>
      </c>
      <c r="Z122">
        <v>107.7</v>
      </c>
      <c r="AA122">
        <v>109.8</v>
      </c>
      <c r="AB122">
        <v>106.7</v>
      </c>
      <c r="AC122">
        <v>108.7</v>
      </c>
      <c r="AD122">
        <v>114.2</v>
      </c>
    </row>
    <row r="123" spans="1:30" x14ac:dyDescent="0.25">
      <c r="A123" t="s">
        <v>30</v>
      </c>
      <c r="B123">
        <v>2013</v>
      </c>
      <c r="C123" t="s">
        <v>43</v>
      </c>
      <c r="D123">
        <v>116.3</v>
      </c>
      <c r="E123">
        <v>115.4</v>
      </c>
      <c r="F123">
        <v>112.6</v>
      </c>
      <c r="G123">
        <v>111.7</v>
      </c>
      <c r="H123">
        <v>107.7</v>
      </c>
      <c r="I123">
        <v>113.2</v>
      </c>
      <c r="J123">
        <v>164.9</v>
      </c>
      <c r="K123">
        <v>108.3</v>
      </c>
      <c r="L123">
        <v>103.9</v>
      </c>
      <c r="M123">
        <v>108.2</v>
      </c>
      <c r="N123">
        <v>111.1</v>
      </c>
      <c r="O123">
        <v>114.9</v>
      </c>
      <c r="P123">
        <v>119.8</v>
      </c>
      <c r="Q123">
        <v>112.2</v>
      </c>
      <c r="R123">
        <v>113.6</v>
      </c>
      <c r="S123">
        <v>112.3</v>
      </c>
      <c r="T123">
        <v>113.4</v>
      </c>
      <c r="U123" t="s">
        <v>32</v>
      </c>
      <c r="V123">
        <v>111.6</v>
      </c>
      <c r="W123">
        <v>110.4</v>
      </c>
      <c r="X123">
        <v>108.9</v>
      </c>
      <c r="Y123">
        <v>109.3</v>
      </c>
      <c r="Z123">
        <v>108.3</v>
      </c>
      <c r="AA123">
        <v>110.2</v>
      </c>
      <c r="AB123">
        <v>107.5</v>
      </c>
      <c r="AC123">
        <v>109.1</v>
      </c>
      <c r="AD123">
        <v>115.5</v>
      </c>
    </row>
    <row r="124" spans="1:30" x14ac:dyDescent="0.25">
      <c r="A124" t="s">
        <v>30</v>
      </c>
      <c r="B124">
        <v>2013</v>
      </c>
      <c r="C124" t="s">
        <v>44</v>
      </c>
      <c r="D124">
        <v>117.3</v>
      </c>
      <c r="E124">
        <v>114.9</v>
      </c>
      <c r="F124">
        <v>116.2</v>
      </c>
      <c r="G124">
        <v>112.8</v>
      </c>
      <c r="H124">
        <v>108.9</v>
      </c>
      <c r="I124">
        <v>116.6</v>
      </c>
      <c r="J124">
        <v>178.1</v>
      </c>
      <c r="K124">
        <v>109.1</v>
      </c>
      <c r="L124">
        <v>103.6</v>
      </c>
      <c r="M124">
        <v>109</v>
      </c>
      <c r="N124">
        <v>111.8</v>
      </c>
      <c r="O124">
        <v>116</v>
      </c>
      <c r="P124">
        <v>122.5</v>
      </c>
      <c r="Q124">
        <v>112.8</v>
      </c>
      <c r="R124">
        <v>114.6</v>
      </c>
      <c r="S124">
        <v>113.1</v>
      </c>
      <c r="T124">
        <v>114.4</v>
      </c>
      <c r="U124" t="s">
        <v>32</v>
      </c>
      <c r="V124">
        <v>112.6</v>
      </c>
      <c r="W124">
        <v>111.3</v>
      </c>
      <c r="X124">
        <v>109.7</v>
      </c>
      <c r="Y124">
        <v>109.6</v>
      </c>
      <c r="Z124">
        <v>108.7</v>
      </c>
      <c r="AA124">
        <v>111</v>
      </c>
      <c r="AB124">
        <v>108.2</v>
      </c>
      <c r="AC124">
        <v>109.8</v>
      </c>
      <c r="AD124">
        <v>117.4</v>
      </c>
    </row>
    <row r="125" spans="1:30" x14ac:dyDescent="0.25">
      <c r="A125" t="s">
        <v>30</v>
      </c>
      <c r="B125">
        <v>2013</v>
      </c>
      <c r="C125" t="s">
        <v>46</v>
      </c>
      <c r="D125">
        <v>118.4</v>
      </c>
      <c r="E125">
        <v>115.9</v>
      </c>
      <c r="F125">
        <v>120.4</v>
      </c>
      <c r="G125">
        <v>113.8</v>
      </c>
      <c r="H125">
        <v>109.5</v>
      </c>
      <c r="I125">
        <v>115.5</v>
      </c>
      <c r="J125">
        <v>145.69999999999999</v>
      </c>
      <c r="K125">
        <v>109.5</v>
      </c>
      <c r="L125">
        <v>102.9</v>
      </c>
      <c r="M125">
        <v>109.8</v>
      </c>
      <c r="N125">
        <v>112.1</v>
      </c>
      <c r="O125">
        <v>116.8</v>
      </c>
      <c r="P125">
        <v>118.7</v>
      </c>
      <c r="Q125">
        <v>113.6</v>
      </c>
      <c r="R125">
        <v>115.8</v>
      </c>
      <c r="S125">
        <v>114</v>
      </c>
      <c r="T125">
        <v>115.5</v>
      </c>
      <c r="U125" t="s">
        <v>32</v>
      </c>
      <c r="V125">
        <v>112.8</v>
      </c>
      <c r="W125">
        <v>112.1</v>
      </c>
      <c r="X125">
        <v>110.1</v>
      </c>
      <c r="Y125">
        <v>109.9</v>
      </c>
      <c r="Z125">
        <v>109.2</v>
      </c>
      <c r="AA125">
        <v>111.6</v>
      </c>
      <c r="AB125">
        <v>108.1</v>
      </c>
      <c r="AC125">
        <v>110.1</v>
      </c>
      <c r="AD125">
        <v>115.5</v>
      </c>
    </row>
    <row r="126" spans="1:30" x14ac:dyDescent="0.25">
      <c r="A126" t="s">
        <v>34</v>
      </c>
      <c r="B126">
        <v>2013</v>
      </c>
      <c r="C126" t="s">
        <v>31</v>
      </c>
      <c r="D126">
        <v>108.4</v>
      </c>
      <c r="E126">
        <v>107.3</v>
      </c>
      <c r="F126">
        <v>110</v>
      </c>
      <c r="G126">
        <v>104.4</v>
      </c>
      <c r="H126">
        <v>105.1</v>
      </c>
      <c r="I126">
        <v>103.2</v>
      </c>
      <c r="J126">
        <v>102.2</v>
      </c>
      <c r="K126">
        <v>106</v>
      </c>
      <c r="L126">
        <v>106.2</v>
      </c>
      <c r="M126">
        <v>102.7</v>
      </c>
      <c r="N126">
        <v>104.9</v>
      </c>
      <c r="O126">
        <v>107.3</v>
      </c>
      <c r="P126">
        <v>105.6</v>
      </c>
      <c r="Q126">
        <v>105.1</v>
      </c>
      <c r="R126">
        <v>106.3</v>
      </c>
      <c r="S126">
        <v>105.5</v>
      </c>
      <c r="T126">
        <v>106.2</v>
      </c>
      <c r="U126">
        <v>100.3</v>
      </c>
      <c r="V126">
        <v>105.5</v>
      </c>
      <c r="W126">
        <v>104.8</v>
      </c>
      <c r="X126">
        <v>104</v>
      </c>
      <c r="Y126">
        <v>103.2</v>
      </c>
      <c r="Z126">
        <v>103.1</v>
      </c>
      <c r="AA126">
        <v>103.6</v>
      </c>
      <c r="AB126">
        <v>104.5</v>
      </c>
      <c r="AC126">
        <v>103.9</v>
      </c>
      <c r="AD126">
        <v>104.6</v>
      </c>
    </row>
    <row r="127" spans="1:30" x14ac:dyDescent="0.25">
      <c r="A127" t="s">
        <v>34</v>
      </c>
      <c r="B127">
        <v>2013</v>
      </c>
      <c r="C127" t="s">
        <v>35</v>
      </c>
      <c r="D127">
        <v>110.4</v>
      </c>
      <c r="E127">
        <v>110.2</v>
      </c>
      <c r="F127">
        <v>112.8</v>
      </c>
      <c r="G127">
        <v>104.9</v>
      </c>
      <c r="H127">
        <v>105.5</v>
      </c>
      <c r="I127">
        <v>103.6</v>
      </c>
      <c r="J127">
        <v>103.2</v>
      </c>
      <c r="K127">
        <v>105.3</v>
      </c>
      <c r="L127">
        <v>105.1</v>
      </c>
      <c r="M127">
        <v>102.8</v>
      </c>
      <c r="N127">
        <v>105.5</v>
      </c>
      <c r="O127">
        <v>108.3</v>
      </c>
      <c r="P127">
        <v>106.6</v>
      </c>
      <c r="Q127">
        <v>105.7</v>
      </c>
      <c r="R127">
        <v>106.9</v>
      </c>
      <c r="S127">
        <v>106</v>
      </c>
      <c r="T127">
        <v>106.8</v>
      </c>
      <c r="U127">
        <v>100.4</v>
      </c>
      <c r="V127">
        <v>106</v>
      </c>
      <c r="W127">
        <v>105.2</v>
      </c>
      <c r="X127">
        <v>104.5</v>
      </c>
      <c r="Y127">
        <v>104.2</v>
      </c>
      <c r="Z127">
        <v>103.6</v>
      </c>
      <c r="AA127">
        <v>103.9</v>
      </c>
      <c r="AB127">
        <v>104.5</v>
      </c>
      <c r="AC127">
        <v>104.4</v>
      </c>
      <c r="AD127">
        <v>105.3</v>
      </c>
    </row>
    <row r="128" spans="1:30" x14ac:dyDescent="0.25">
      <c r="A128" t="s">
        <v>34</v>
      </c>
      <c r="B128">
        <v>2013</v>
      </c>
      <c r="C128" t="s">
        <v>36</v>
      </c>
      <c r="D128">
        <v>111.4</v>
      </c>
      <c r="E128">
        <v>109.7</v>
      </c>
      <c r="F128">
        <v>111.2</v>
      </c>
      <c r="G128">
        <v>105.1</v>
      </c>
      <c r="H128">
        <v>104.9</v>
      </c>
      <c r="I128">
        <v>105.3</v>
      </c>
      <c r="J128">
        <v>102.2</v>
      </c>
      <c r="K128">
        <v>105</v>
      </c>
      <c r="L128">
        <v>104.2</v>
      </c>
      <c r="M128">
        <v>103</v>
      </c>
      <c r="N128">
        <v>106.2</v>
      </c>
      <c r="O128">
        <v>108.9</v>
      </c>
      <c r="P128">
        <v>106.9</v>
      </c>
      <c r="Q128">
        <v>106.6</v>
      </c>
      <c r="R128">
        <v>107.4</v>
      </c>
      <c r="S128">
        <v>106.5</v>
      </c>
      <c r="T128">
        <v>107.3</v>
      </c>
      <c r="U128">
        <v>100.4</v>
      </c>
      <c r="V128">
        <v>106.1</v>
      </c>
      <c r="W128">
        <v>105.6</v>
      </c>
      <c r="X128">
        <v>104.9</v>
      </c>
      <c r="Y128">
        <v>105.1</v>
      </c>
      <c r="Z128">
        <v>103.7</v>
      </c>
      <c r="AA128">
        <v>104</v>
      </c>
      <c r="AB128">
        <v>104.3</v>
      </c>
      <c r="AC128">
        <v>104.7</v>
      </c>
      <c r="AD128">
        <v>105.5</v>
      </c>
    </row>
    <row r="129" spans="1:30" x14ac:dyDescent="0.25">
      <c r="A129" t="s">
        <v>34</v>
      </c>
      <c r="B129">
        <v>2013</v>
      </c>
      <c r="C129" t="s">
        <v>37</v>
      </c>
      <c r="D129">
        <v>111.6</v>
      </c>
      <c r="E129">
        <v>110.9</v>
      </c>
      <c r="F129">
        <v>106.6</v>
      </c>
      <c r="G129">
        <v>105.7</v>
      </c>
      <c r="H129">
        <v>104.4</v>
      </c>
      <c r="I129">
        <v>108.9</v>
      </c>
      <c r="J129">
        <v>105.5</v>
      </c>
      <c r="K129">
        <v>105.3</v>
      </c>
      <c r="L129">
        <v>103.5</v>
      </c>
      <c r="M129">
        <v>103.3</v>
      </c>
      <c r="N129">
        <v>107.2</v>
      </c>
      <c r="O129">
        <v>109.6</v>
      </c>
      <c r="P129">
        <v>107.7</v>
      </c>
      <c r="Q129">
        <v>107.5</v>
      </c>
      <c r="R129">
        <v>108</v>
      </c>
      <c r="S129">
        <v>107</v>
      </c>
      <c r="T129">
        <v>107.9</v>
      </c>
      <c r="U129">
        <v>100.5</v>
      </c>
      <c r="V129">
        <v>106.5</v>
      </c>
      <c r="W129">
        <v>106.3</v>
      </c>
      <c r="X129">
        <v>105.3</v>
      </c>
      <c r="Y129">
        <v>104.7</v>
      </c>
      <c r="Z129">
        <v>104.2</v>
      </c>
      <c r="AA129">
        <v>105</v>
      </c>
      <c r="AB129">
        <v>102.9</v>
      </c>
      <c r="AC129">
        <v>104.8</v>
      </c>
      <c r="AD129">
        <v>106.1</v>
      </c>
    </row>
    <row r="130" spans="1:30" x14ac:dyDescent="0.25">
      <c r="A130" t="s">
        <v>34</v>
      </c>
      <c r="B130">
        <v>2013</v>
      </c>
      <c r="C130" t="s">
        <v>38</v>
      </c>
      <c r="D130">
        <v>112.3</v>
      </c>
      <c r="E130">
        <v>111.3</v>
      </c>
      <c r="F130">
        <v>104.7</v>
      </c>
      <c r="G130">
        <v>106.8</v>
      </c>
      <c r="H130">
        <v>103.9</v>
      </c>
      <c r="I130">
        <v>109.3</v>
      </c>
      <c r="J130">
        <v>112.9</v>
      </c>
      <c r="K130">
        <v>105.8</v>
      </c>
      <c r="L130">
        <v>103.1</v>
      </c>
      <c r="M130">
        <v>104.3</v>
      </c>
      <c r="N130">
        <v>108.1</v>
      </c>
      <c r="O130">
        <v>110.5</v>
      </c>
      <c r="P130">
        <v>109.2</v>
      </c>
      <c r="Q130">
        <v>108.6</v>
      </c>
      <c r="R130">
        <v>108.7</v>
      </c>
      <c r="S130">
        <v>107.4</v>
      </c>
      <c r="T130">
        <v>108.5</v>
      </c>
      <c r="U130">
        <v>100.5</v>
      </c>
      <c r="V130">
        <v>107.4</v>
      </c>
      <c r="W130">
        <v>106.9</v>
      </c>
      <c r="X130">
        <v>105.9</v>
      </c>
      <c r="Y130">
        <v>104</v>
      </c>
      <c r="Z130">
        <v>104.8</v>
      </c>
      <c r="AA130">
        <v>105.6</v>
      </c>
      <c r="AB130">
        <v>102.3</v>
      </c>
      <c r="AC130">
        <v>104.8</v>
      </c>
      <c r="AD130">
        <v>106.9</v>
      </c>
    </row>
    <row r="131" spans="1:30" x14ac:dyDescent="0.25">
      <c r="A131" t="s">
        <v>34</v>
      </c>
      <c r="B131">
        <v>2013</v>
      </c>
      <c r="C131" t="s">
        <v>39</v>
      </c>
      <c r="D131">
        <v>113.8</v>
      </c>
      <c r="E131">
        <v>114.9</v>
      </c>
      <c r="F131">
        <v>109.8</v>
      </c>
      <c r="G131">
        <v>107.9</v>
      </c>
      <c r="H131">
        <v>104.2</v>
      </c>
      <c r="I131">
        <v>110.7</v>
      </c>
      <c r="J131">
        <v>126.7</v>
      </c>
      <c r="K131">
        <v>106.3</v>
      </c>
      <c r="L131">
        <v>103.2</v>
      </c>
      <c r="M131">
        <v>105.7</v>
      </c>
      <c r="N131">
        <v>109</v>
      </c>
      <c r="O131">
        <v>111.6</v>
      </c>
      <c r="P131">
        <v>112.2</v>
      </c>
      <c r="Q131">
        <v>109.5</v>
      </c>
      <c r="R131">
        <v>109.5</v>
      </c>
      <c r="S131">
        <v>108.1</v>
      </c>
      <c r="T131">
        <v>109.3</v>
      </c>
      <c r="U131">
        <v>106.6</v>
      </c>
      <c r="V131">
        <v>108.3</v>
      </c>
      <c r="W131">
        <v>107.6</v>
      </c>
      <c r="X131">
        <v>106.4</v>
      </c>
      <c r="Y131">
        <v>105.1</v>
      </c>
      <c r="Z131">
        <v>105.4</v>
      </c>
      <c r="AA131">
        <v>107.4</v>
      </c>
      <c r="AB131">
        <v>102.8</v>
      </c>
      <c r="AC131">
        <v>105.8</v>
      </c>
      <c r="AD131">
        <v>109.3</v>
      </c>
    </row>
    <row r="132" spans="1:30" x14ac:dyDescent="0.25">
      <c r="A132" t="s">
        <v>34</v>
      </c>
      <c r="B132">
        <v>2013</v>
      </c>
      <c r="C132" t="s">
        <v>40</v>
      </c>
      <c r="D132">
        <v>114.8</v>
      </c>
      <c r="E132">
        <v>116.4</v>
      </c>
      <c r="F132">
        <v>111.9</v>
      </c>
      <c r="G132">
        <v>108.9</v>
      </c>
      <c r="H132">
        <v>104.3</v>
      </c>
      <c r="I132">
        <v>111.7</v>
      </c>
      <c r="J132">
        <v>140</v>
      </c>
      <c r="K132">
        <v>106.4</v>
      </c>
      <c r="L132">
        <v>103.3</v>
      </c>
      <c r="M132">
        <v>106.8</v>
      </c>
      <c r="N132">
        <v>109.6</v>
      </c>
      <c r="O132">
        <v>112.6</v>
      </c>
      <c r="P132">
        <v>114.7</v>
      </c>
      <c r="Q132">
        <v>110.3</v>
      </c>
      <c r="R132">
        <v>110.2</v>
      </c>
      <c r="S132">
        <v>108.8</v>
      </c>
      <c r="T132">
        <v>110</v>
      </c>
      <c r="U132">
        <v>107.7</v>
      </c>
      <c r="V132">
        <v>109.2</v>
      </c>
      <c r="W132">
        <v>108.2</v>
      </c>
      <c r="X132">
        <v>107</v>
      </c>
      <c r="Y132">
        <v>107.1</v>
      </c>
      <c r="Z132">
        <v>106.1</v>
      </c>
      <c r="AA132">
        <v>109.1</v>
      </c>
      <c r="AB132">
        <v>102.8</v>
      </c>
      <c r="AC132">
        <v>106.9</v>
      </c>
      <c r="AD132">
        <v>111</v>
      </c>
    </row>
    <row r="133" spans="1:30" x14ac:dyDescent="0.25">
      <c r="A133" t="s">
        <v>34</v>
      </c>
      <c r="B133">
        <v>2013</v>
      </c>
      <c r="C133" t="s">
        <v>41</v>
      </c>
      <c r="D133">
        <v>115.6</v>
      </c>
      <c r="E133">
        <v>117.2</v>
      </c>
      <c r="F133">
        <v>111.7</v>
      </c>
      <c r="G133">
        <v>109.6</v>
      </c>
      <c r="H133">
        <v>104.5</v>
      </c>
      <c r="I133">
        <v>109.8</v>
      </c>
      <c r="J133">
        <v>151.80000000000001</v>
      </c>
      <c r="K133">
        <v>106.5</v>
      </c>
      <c r="L133">
        <v>103.1</v>
      </c>
      <c r="M133">
        <v>107.4</v>
      </c>
      <c r="N133">
        <v>110.2</v>
      </c>
      <c r="O133">
        <v>113.4</v>
      </c>
      <c r="P133">
        <v>116.6</v>
      </c>
      <c r="Q133">
        <v>111.2</v>
      </c>
      <c r="R133">
        <v>111</v>
      </c>
      <c r="S133">
        <v>109.4</v>
      </c>
      <c r="T133">
        <v>110.7</v>
      </c>
      <c r="U133">
        <v>108.9</v>
      </c>
      <c r="V133">
        <v>109.7</v>
      </c>
      <c r="W133">
        <v>108.7</v>
      </c>
      <c r="X133">
        <v>107.5</v>
      </c>
      <c r="Y133">
        <v>108</v>
      </c>
      <c r="Z133">
        <v>106.6</v>
      </c>
      <c r="AA133">
        <v>109.9</v>
      </c>
      <c r="AB133">
        <v>105.4</v>
      </c>
      <c r="AC133">
        <v>107.9</v>
      </c>
      <c r="AD133">
        <v>112.4</v>
      </c>
    </row>
    <row r="134" spans="1:30" x14ac:dyDescent="0.25">
      <c r="A134" t="s">
        <v>34</v>
      </c>
      <c r="B134">
        <v>2013</v>
      </c>
      <c r="C134" t="s">
        <v>42</v>
      </c>
      <c r="D134">
        <v>116.4</v>
      </c>
      <c r="E134">
        <v>116.9</v>
      </c>
      <c r="F134">
        <v>112.3</v>
      </c>
      <c r="G134">
        <v>110.5</v>
      </c>
      <c r="H134">
        <v>105.3</v>
      </c>
      <c r="I134">
        <v>107.3</v>
      </c>
      <c r="J134">
        <v>160.9</v>
      </c>
      <c r="K134">
        <v>107.1</v>
      </c>
      <c r="L134">
        <v>103.1</v>
      </c>
      <c r="M134">
        <v>108.3</v>
      </c>
      <c r="N134">
        <v>110.7</v>
      </c>
      <c r="O134">
        <v>114.6</v>
      </c>
      <c r="P134">
        <v>118.3</v>
      </c>
      <c r="Q134">
        <v>112</v>
      </c>
      <c r="R134">
        <v>112.2</v>
      </c>
      <c r="S134">
        <v>110.4</v>
      </c>
      <c r="T134">
        <v>111.9</v>
      </c>
      <c r="U134">
        <v>109.7</v>
      </c>
      <c r="V134">
        <v>110.5</v>
      </c>
      <c r="W134">
        <v>109.6</v>
      </c>
      <c r="X134">
        <v>108.1</v>
      </c>
      <c r="Y134">
        <v>109.9</v>
      </c>
      <c r="Z134">
        <v>107.5</v>
      </c>
      <c r="AA134">
        <v>110.6</v>
      </c>
      <c r="AB134">
        <v>106.8</v>
      </c>
      <c r="AC134">
        <v>109</v>
      </c>
      <c r="AD134">
        <v>113.7</v>
      </c>
    </row>
    <row r="135" spans="1:30" x14ac:dyDescent="0.25">
      <c r="A135" t="s">
        <v>34</v>
      </c>
      <c r="B135">
        <v>2013</v>
      </c>
      <c r="C135" t="s">
        <v>43</v>
      </c>
      <c r="D135">
        <v>117.1</v>
      </c>
      <c r="E135">
        <v>116.3</v>
      </c>
      <c r="F135">
        <v>113.3</v>
      </c>
      <c r="G135">
        <v>111.2</v>
      </c>
      <c r="H135">
        <v>105.7</v>
      </c>
      <c r="I135">
        <v>109.9</v>
      </c>
      <c r="J135">
        <v>171.2</v>
      </c>
      <c r="K135">
        <v>107.3</v>
      </c>
      <c r="L135">
        <v>102.7</v>
      </c>
      <c r="M135">
        <v>108.7</v>
      </c>
      <c r="N135">
        <v>111.2</v>
      </c>
      <c r="O135">
        <v>115.4</v>
      </c>
      <c r="P135">
        <v>120.2</v>
      </c>
      <c r="Q135">
        <v>112.5</v>
      </c>
      <c r="R135">
        <v>113.2</v>
      </c>
      <c r="S135">
        <v>111.2</v>
      </c>
      <c r="T135">
        <v>112.8</v>
      </c>
      <c r="U135">
        <v>110.5</v>
      </c>
      <c r="V135">
        <v>110.9</v>
      </c>
      <c r="W135">
        <v>110.3</v>
      </c>
      <c r="X135">
        <v>108.6</v>
      </c>
      <c r="Y135">
        <v>109.5</v>
      </c>
      <c r="Z135">
        <v>108.1</v>
      </c>
      <c r="AA135">
        <v>110.8</v>
      </c>
      <c r="AB135">
        <v>107.4</v>
      </c>
      <c r="AC135">
        <v>109.2</v>
      </c>
      <c r="AD135">
        <v>114.8</v>
      </c>
    </row>
    <row r="136" spans="1:30" x14ac:dyDescent="0.25">
      <c r="A136" t="s">
        <v>34</v>
      </c>
      <c r="B136">
        <v>2013</v>
      </c>
      <c r="C136" t="s">
        <v>45</v>
      </c>
      <c r="D136">
        <v>118.1</v>
      </c>
      <c r="E136">
        <v>115.4</v>
      </c>
      <c r="F136">
        <v>118.7</v>
      </c>
      <c r="G136">
        <v>112.5</v>
      </c>
      <c r="H136">
        <v>106.8</v>
      </c>
      <c r="I136">
        <v>113.5</v>
      </c>
      <c r="J136">
        <v>183.1</v>
      </c>
      <c r="K136">
        <v>108.2</v>
      </c>
      <c r="L136">
        <v>102.2</v>
      </c>
      <c r="M136">
        <v>109.4</v>
      </c>
      <c r="N136">
        <v>111.8</v>
      </c>
      <c r="O136">
        <v>116.5</v>
      </c>
      <c r="P136">
        <v>122.6</v>
      </c>
      <c r="Q136">
        <v>113.1</v>
      </c>
      <c r="R136">
        <v>114.2</v>
      </c>
      <c r="S136">
        <v>111.9</v>
      </c>
      <c r="T136">
        <v>113.8</v>
      </c>
      <c r="U136">
        <v>111.1</v>
      </c>
      <c r="V136">
        <v>111.6</v>
      </c>
      <c r="W136">
        <v>111.1</v>
      </c>
      <c r="X136">
        <v>109.3</v>
      </c>
      <c r="Y136">
        <v>109.5</v>
      </c>
      <c r="Z136">
        <v>108.6</v>
      </c>
      <c r="AA136">
        <v>111.2</v>
      </c>
      <c r="AB136">
        <v>108.1</v>
      </c>
      <c r="AC136">
        <v>109.7</v>
      </c>
      <c r="AD136">
        <v>116.3</v>
      </c>
    </row>
    <row r="137" spans="1:30" x14ac:dyDescent="0.25">
      <c r="A137" t="s">
        <v>34</v>
      </c>
      <c r="B137">
        <v>2013</v>
      </c>
      <c r="C137" t="s">
        <v>46</v>
      </c>
      <c r="D137">
        <v>119.1</v>
      </c>
      <c r="E137">
        <v>116.7</v>
      </c>
      <c r="F137">
        <v>123.5</v>
      </c>
      <c r="G137">
        <v>113.4</v>
      </c>
      <c r="H137">
        <v>107.3</v>
      </c>
      <c r="I137">
        <v>113.3</v>
      </c>
      <c r="J137">
        <v>145.4</v>
      </c>
      <c r="K137">
        <v>108.7</v>
      </c>
      <c r="L137">
        <v>101.5</v>
      </c>
      <c r="M137">
        <v>110.5</v>
      </c>
      <c r="N137">
        <v>112.1</v>
      </c>
      <c r="O137">
        <v>117.4</v>
      </c>
      <c r="P137">
        <v>118.4</v>
      </c>
      <c r="Q137">
        <v>114</v>
      </c>
      <c r="R137">
        <v>115.2</v>
      </c>
      <c r="S137">
        <v>112.7</v>
      </c>
      <c r="T137">
        <v>114.8</v>
      </c>
      <c r="U137">
        <v>110.7</v>
      </c>
      <c r="V137">
        <v>111.9</v>
      </c>
      <c r="W137">
        <v>111.7</v>
      </c>
      <c r="X137">
        <v>109.7</v>
      </c>
      <c r="Y137">
        <v>109.8</v>
      </c>
      <c r="Z137">
        <v>109</v>
      </c>
      <c r="AA137">
        <v>111.5</v>
      </c>
      <c r="AB137">
        <v>107.9</v>
      </c>
      <c r="AC137">
        <v>110</v>
      </c>
      <c r="AD137">
        <v>114.5</v>
      </c>
    </row>
    <row r="138" spans="1:30" x14ac:dyDescent="0.25">
      <c r="A138" t="s">
        <v>34</v>
      </c>
      <c r="B138">
        <v>2014</v>
      </c>
      <c r="C138" t="s">
        <v>31</v>
      </c>
      <c r="D138">
        <v>119.6</v>
      </c>
      <c r="E138">
        <v>118.8</v>
      </c>
      <c r="F138">
        <v>124.1</v>
      </c>
      <c r="G138">
        <v>114.1</v>
      </c>
      <c r="H138">
        <v>106.8</v>
      </c>
      <c r="I138">
        <v>113.9</v>
      </c>
      <c r="J138">
        <v>122.2</v>
      </c>
      <c r="K138">
        <v>108.9</v>
      </c>
      <c r="L138">
        <v>100.2</v>
      </c>
      <c r="M138">
        <v>111</v>
      </c>
      <c r="N138">
        <v>112.3</v>
      </c>
      <c r="O138">
        <v>118.1</v>
      </c>
      <c r="P138">
        <v>115.8</v>
      </c>
      <c r="Q138">
        <v>114.5</v>
      </c>
      <c r="R138">
        <v>115.8</v>
      </c>
      <c r="S138">
        <v>113.2</v>
      </c>
      <c r="T138">
        <v>115.4</v>
      </c>
      <c r="U138">
        <v>111.6</v>
      </c>
      <c r="V138">
        <v>112.2</v>
      </c>
      <c r="W138">
        <v>112.3</v>
      </c>
      <c r="X138">
        <v>110.3</v>
      </c>
      <c r="Y138">
        <v>110.7</v>
      </c>
      <c r="Z138">
        <v>109.7</v>
      </c>
      <c r="AA138">
        <v>111.6</v>
      </c>
      <c r="AB138">
        <v>108.2</v>
      </c>
      <c r="AC138">
        <v>110.6</v>
      </c>
      <c r="AD138">
        <v>113.6</v>
      </c>
    </row>
    <row r="139" spans="1:30" x14ac:dyDescent="0.25">
      <c r="A139" t="s">
        <v>34</v>
      </c>
      <c r="B139">
        <v>2014</v>
      </c>
      <c r="C139" t="s">
        <v>35</v>
      </c>
      <c r="D139">
        <v>120.2</v>
      </c>
      <c r="E139">
        <v>119.2</v>
      </c>
      <c r="F139">
        <v>122.5</v>
      </c>
      <c r="G139">
        <v>115.1</v>
      </c>
      <c r="H139">
        <v>106.6</v>
      </c>
      <c r="I139">
        <v>115.4</v>
      </c>
      <c r="J139">
        <v>114.5</v>
      </c>
      <c r="K139">
        <v>109.3</v>
      </c>
      <c r="L139">
        <v>99.2</v>
      </c>
      <c r="M139">
        <v>111.4</v>
      </c>
      <c r="N139">
        <v>112.6</v>
      </c>
      <c r="O139">
        <v>118.8</v>
      </c>
      <c r="P139">
        <v>115.3</v>
      </c>
      <c r="Q139">
        <v>114.7</v>
      </c>
      <c r="R139">
        <v>116.4</v>
      </c>
      <c r="S139">
        <v>113.3</v>
      </c>
      <c r="T139">
        <v>115.9</v>
      </c>
      <c r="U139">
        <v>112.5</v>
      </c>
      <c r="V139">
        <v>112.4</v>
      </c>
      <c r="W139">
        <v>112.8</v>
      </c>
      <c r="X139">
        <v>110.7</v>
      </c>
      <c r="Y139">
        <v>111.1</v>
      </c>
      <c r="Z139">
        <v>110.1</v>
      </c>
      <c r="AA139">
        <v>111.8</v>
      </c>
      <c r="AB139">
        <v>108.7</v>
      </c>
      <c r="AC139">
        <v>110.9</v>
      </c>
      <c r="AD139">
        <v>113.6</v>
      </c>
    </row>
    <row r="140" spans="1:30" x14ac:dyDescent="0.25">
      <c r="A140" t="s">
        <v>34</v>
      </c>
      <c r="B140">
        <v>2014</v>
      </c>
      <c r="C140" t="s">
        <v>47</v>
      </c>
      <c r="D140">
        <v>120.7</v>
      </c>
      <c r="E140">
        <v>119.3</v>
      </c>
      <c r="F140">
        <v>121</v>
      </c>
      <c r="G140">
        <v>116.1</v>
      </c>
      <c r="H140">
        <v>106.9</v>
      </c>
      <c r="I140">
        <v>118.7</v>
      </c>
      <c r="J140">
        <v>116.3</v>
      </c>
      <c r="K140">
        <v>109.8</v>
      </c>
      <c r="L140">
        <v>99.6</v>
      </c>
      <c r="M140">
        <v>111.8</v>
      </c>
      <c r="N140">
        <v>112.7</v>
      </c>
      <c r="O140">
        <v>119.3</v>
      </c>
      <c r="P140">
        <v>116.1</v>
      </c>
      <c r="Q140">
        <v>115.2</v>
      </c>
      <c r="R140">
        <v>116.8</v>
      </c>
      <c r="S140">
        <v>113.7</v>
      </c>
      <c r="T140">
        <v>116.4</v>
      </c>
      <c r="U140">
        <v>113.2</v>
      </c>
      <c r="V140">
        <v>112.5</v>
      </c>
      <c r="W140">
        <v>113.2</v>
      </c>
      <c r="X140">
        <v>111.2</v>
      </c>
      <c r="Y140">
        <v>111.4</v>
      </c>
      <c r="Z140">
        <v>110.6</v>
      </c>
      <c r="AA140">
        <v>112</v>
      </c>
      <c r="AB140">
        <v>109</v>
      </c>
      <c r="AC140">
        <v>111.3</v>
      </c>
      <c r="AD140">
        <v>114.2</v>
      </c>
    </row>
    <row r="141" spans="1:30" x14ac:dyDescent="0.25">
      <c r="A141" t="s">
        <v>34</v>
      </c>
      <c r="B141">
        <v>2014</v>
      </c>
      <c r="C141" t="s">
        <v>37</v>
      </c>
      <c r="D141">
        <v>120.9</v>
      </c>
      <c r="E141">
        <v>119.9</v>
      </c>
      <c r="F141">
        <v>116.2</v>
      </c>
      <c r="G141">
        <v>117</v>
      </c>
      <c r="H141">
        <v>107.3</v>
      </c>
      <c r="I141">
        <v>126.1</v>
      </c>
      <c r="J141">
        <v>120.7</v>
      </c>
      <c r="K141">
        <v>111</v>
      </c>
      <c r="L141">
        <v>101.8</v>
      </c>
      <c r="M141">
        <v>112.6</v>
      </c>
      <c r="N141">
        <v>113.2</v>
      </c>
      <c r="O141">
        <v>119.8</v>
      </c>
      <c r="P141">
        <v>117.6</v>
      </c>
      <c r="Q141">
        <v>116</v>
      </c>
      <c r="R141">
        <v>117.4</v>
      </c>
      <c r="S141">
        <v>114.6</v>
      </c>
      <c r="T141">
        <v>117</v>
      </c>
      <c r="U141">
        <v>113.9</v>
      </c>
      <c r="V141">
        <v>112.5</v>
      </c>
      <c r="W141">
        <v>113.6</v>
      </c>
      <c r="X141">
        <v>111.5</v>
      </c>
      <c r="Y141">
        <v>111.2</v>
      </c>
      <c r="Z141">
        <v>110.9</v>
      </c>
      <c r="AA141">
        <v>112.7</v>
      </c>
      <c r="AB141">
        <v>109</v>
      </c>
      <c r="AC141">
        <v>111.5</v>
      </c>
      <c r="AD141">
        <v>115.1</v>
      </c>
    </row>
    <row r="142" spans="1:30" x14ac:dyDescent="0.25">
      <c r="A142" t="s">
        <v>34</v>
      </c>
      <c r="B142">
        <v>2014</v>
      </c>
      <c r="C142" t="s">
        <v>38</v>
      </c>
      <c r="D142">
        <v>121.1</v>
      </c>
      <c r="E142">
        <v>121.6</v>
      </c>
      <c r="F142">
        <v>115.9</v>
      </c>
      <c r="G142">
        <v>118.4</v>
      </c>
      <c r="H142">
        <v>107.7</v>
      </c>
      <c r="I142">
        <v>127.7</v>
      </c>
      <c r="J142">
        <v>125</v>
      </c>
      <c r="K142">
        <v>111.9</v>
      </c>
      <c r="L142">
        <v>102.8</v>
      </c>
      <c r="M142">
        <v>113.4</v>
      </c>
      <c r="N142">
        <v>113.7</v>
      </c>
      <c r="O142">
        <v>120.4</v>
      </c>
      <c r="P142">
        <v>118.9</v>
      </c>
      <c r="Q142">
        <v>116.8</v>
      </c>
      <c r="R142">
        <v>118</v>
      </c>
      <c r="S142">
        <v>115.2</v>
      </c>
      <c r="T142">
        <v>117.6</v>
      </c>
      <c r="U142">
        <v>114.3</v>
      </c>
      <c r="V142">
        <v>112.5</v>
      </c>
      <c r="W142">
        <v>114.1</v>
      </c>
      <c r="X142">
        <v>111.8</v>
      </c>
      <c r="Y142">
        <v>111.3</v>
      </c>
      <c r="Z142">
        <v>111.2</v>
      </c>
      <c r="AA142">
        <v>113</v>
      </c>
      <c r="AB142">
        <v>109.1</v>
      </c>
      <c r="AC142">
        <v>111.8</v>
      </c>
      <c r="AD142">
        <v>115.8</v>
      </c>
    </row>
    <row r="143" spans="1:30" x14ac:dyDescent="0.25">
      <c r="A143" t="s">
        <v>34</v>
      </c>
      <c r="B143">
        <v>2014</v>
      </c>
      <c r="C143" t="s">
        <v>39</v>
      </c>
      <c r="D143">
        <v>121.5</v>
      </c>
      <c r="E143">
        <v>123.1</v>
      </c>
      <c r="F143">
        <v>115.8</v>
      </c>
      <c r="G143">
        <v>119.7</v>
      </c>
      <c r="H143">
        <v>107.8</v>
      </c>
      <c r="I143">
        <v>128.30000000000001</v>
      </c>
      <c r="J143">
        <v>132.1</v>
      </c>
      <c r="K143">
        <v>112.4</v>
      </c>
      <c r="L143">
        <v>102.9</v>
      </c>
      <c r="M143">
        <v>114.3</v>
      </c>
      <c r="N143">
        <v>114.2</v>
      </c>
      <c r="O143">
        <v>121.2</v>
      </c>
      <c r="P143">
        <v>120.4</v>
      </c>
      <c r="Q143">
        <v>117.8</v>
      </c>
      <c r="R143">
        <v>118.8</v>
      </c>
      <c r="S143">
        <v>115.6</v>
      </c>
      <c r="T143">
        <v>118.3</v>
      </c>
      <c r="U143">
        <v>113.9</v>
      </c>
      <c r="V143">
        <v>113.2</v>
      </c>
      <c r="W143">
        <v>114.6</v>
      </c>
      <c r="X143">
        <v>112.3</v>
      </c>
      <c r="Y143">
        <v>111.8</v>
      </c>
      <c r="Z143">
        <v>111.6</v>
      </c>
      <c r="AA143">
        <v>114.8</v>
      </c>
      <c r="AB143">
        <v>108.3</v>
      </c>
      <c r="AC143">
        <v>112.3</v>
      </c>
      <c r="AD143">
        <v>116.7</v>
      </c>
    </row>
    <row r="144" spans="1:30" x14ac:dyDescent="0.25">
      <c r="A144" t="s">
        <v>34</v>
      </c>
      <c r="B144">
        <v>2014</v>
      </c>
      <c r="C144" t="s">
        <v>40</v>
      </c>
      <c r="D144">
        <v>122.4</v>
      </c>
      <c r="E144">
        <v>123.9</v>
      </c>
      <c r="F144">
        <v>117.8</v>
      </c>
      <c r="G144">
        <v>121</v>
      </c>
      <c r="H144">
        <v>107.9</v>
      </c>
      <c r="I144">
        <v>131.19999999999999</v>
      </c>
      <c r="J144">
        <v>157.69999999999999</v>
      </c>
      <c r="K144">
        <v>113.2</v>
      </c>
      <c r="L144">
        <v>104.1</v>
      </c>
      <c r="M144">
        <v>115.5</v>
      </c>
      <c r="N144">
        <v>114.8</v>
      </c>
      <c r="O144">
        <v>122.1</v>
      </c>
      <c r="P144">
        <v>124.7</v>
      </c>
      <c r="Q144">
        <v>118.8</v>
      </c>
      <c r="R144">
        <v>119.6</v>
      </c>
      <c r="S144">
        <v>116.3</v>
      </c>
      <c r="T144">
        <v>119.1</v>
      </c>
      <c r="U144">
        <v>114.8</v>
      </c>
      <c r="V144">
        <v>113.9</v>
      </c>
      <c r="W144">
        <v>115.2</v>
      </c>
      <c r="X144">
        <v>112.7</v>
      </c>
      <c r="Y144">
        <v>113.1</v>
      </c>
      <c r="Z144">
        <v>112.1</v>
      </c>
      <c r="AA144">
        <v>116.8</v>
      </c>
      <c r="AB144">
        <v>109.2</v>
      </c>
      <c r="AC144">
        <v>113.3</v>
      </c>
      <c r="AD144">
        <v>119.2</v>
      </c>
    </row>
    <row r="145" spans="1:30" x14ac:dyDescent="0.25">
      <c r="A145" t="s">
        <v>34</v>
      </c>
      <c r="B145">
        <v>2014</v>
      </c>
      <c r="C145" t="s">
        <v>41</v>
      </c>
      <c r="D145">
        <v>122.7</v>
      </c>
      <c r="E145">
        <v>124.4</v>
      </c>
      <c r="F145">
        <v>117.3</v>
      </c>
      <c r="G145">
        <v>122</v>
      </c>
      <c r="H145">
        <v>108</v>
      </c>
      <c r="I145">
        <v>131.1</v>
      </c>
      <c r="J145">
        <v>168.2</v>
      </c>
      <c r="K145">
        <v>114.5</v>
      </c>
      <c r="L145">
        <v>104.3</v>
      </c>
      <c r="M145">
        <v>117.1</v>
      </c>
      <c r="N145">
        <v>115.2</v>
      </c>
      <c r="O145">
        <v>123.1</v>
      </c>
      <c r="P145">
        <v>126.6</v>
      </c>
      <c r="Q145">
        <v>119.9</v>
      </c>
      <c r="R145">
        <v>120</v>
      </c>
      <c r="S145">
        <v>116.8</v>
      </c>
      <c r="T145">
        <v>119.6</v>
      </c>
      <c r="U145">
        <v>115.5</v>
      </c>
      <c r="V145">
        <v>114</v>
      </c>
      <c r="W145">
        <v>115.6</v>
      </c>
      <c r="X145">
        <v>113.3</v>
      </c>
      <c r="Y145">
        <v>112.8</v>
      </c>
      <c r="Z145">
        <v>112.6</v>
      </c>
      <c r="AA145">
        <v>118</v>
      </c>
      <c r="AB145">
        <v>109.9</v>
      </c>
      <c r="AC145">
        <v>113.7</v>
      </c>
      <c r="AD145">
        <v>120.3</v>
      </c>
    </row>
    <row r="146" spans="1:30" x14ac:dyDescent="0.25">
      <c r="A146" t="s">
        <v>34</v>
      </c>
      <c r="B146">
        <v>2014</v>
      </c>
      <c r="C146" t="s">
        <v>42</v>
      </c>
      <c r="D146">
        <v>122.9</v>
      </c>
      <c r="E146">
        <v>123.5</v>
      </c>
      <c r="F146">
        <v>117.3</v>
      </c>
      <c r="G146">
        <v>122.7</v>
      </c>
      <c r="H146">
        <v>107.9</v>
      </c>
      <c r="I146">
        <v>127.3</v>
      </c>
      <c r="J146">
        <v>162.1</v>
      </c>
      <c r="K146">
        <v>115.6</v>
      </c>
      <c r="L146">
        <v>103.8</v>
      </c>
      <c r="M146">
        <v>117.6</v>
      </c>
      <c r="N146">
        <v>115.8</v>
      </c>
      <c r="O146">
        <v>123.8</v>
      </c>
      <c r="P146">
        <v>125.8</v>
      </c>
      <c r="Q146">
        <v>120.8</v>
      </c>
      <c r="R146">
        <v>120.7</v>
      </c>
      <c r="S146">
        <v>117.2</v>
      </c>
      <c r="T146">
        <v>120.1</v>
      </c>
      <c r="U146">
        <v>116.1</v>
      </c>
      <c r="V146">
        <v>114.3</v>
      </c>
      <c r="W146">
        <v>116.1</v>
      </c>
      <c r="X146">
        <v>113.7</v>
      </c>
      <c r="Y146">
        <v>112</v>
      </c>
      <c r="Z146">
        <v>113.1</v>
      </c>
      <c r="AA146">
        <v>118.6</v>
      </c>
      <c r="AB146">
        <v>109.5</v>
      </c>
      <c r="AC146">
        <v>113.7</v>
      </c>
      <c r="AD146">
        <v>120.1</v>
      </c>
    </row>
    <row r="147" spans="1:30" x14ac:dyDescent="0.25">
      <c r="A147" t="s">
        <v>34</v>
      </c>
      <c r="B147">
        <v>2014</v>
      </c>
      <c r="C147" t="s">
        <v>43</v>
      </c>
      <c r="D147">
        <v>123.2</v>
      </c>
      <c r="E147">
        <v>123.8</v>
      </c>
      <c r="F147">
        <v>118.1</v>
      </c>
      <c r="G147">
        <v>123.2</v>
      </c>
      <c r="H147">
        <v>107.9</v>
      </c>
      <c r="I147">
        <v>126.4</v>
      </c>
      <c r="J147">
        <v>156.80000000000001</v>
      </c>
      <c r="K147">
        <v>116.1</v>
      </c>
      <c r="L147">
        <v>103.1</v>
      </c>
      <c r="M147">
        <v>118.1</v>
      </c>
      <c r="N147">
        <v>116.1</v>
      </c>
      <c r="O147">
        <v>124.5</v>
      </c>
      <c r="P147">
        <v>125.4</v>
      </c>
      <c r="Q147">
        <v>121.1</v>
      </c>
      <c r="R147">
        <v>121.5</v>
      </c>
      <c r="S147">
        <v>118.1</v>
      </c>
      <c r="T147">
        <v>121</v>
      </c>
      <c r="U147">
        <v>116.7</v>
      </c>
      <c r="V147">
        <v>114.7</v>
      </c>
      <c r="W147">
        <v>116.7</v>
      </c>
      <c r="X147">
        <v>114.3</v>
      </c>
      <c r="Y147">
        <v>111.8</v>
      </c>
      <c r="Z147">
        <v>113.3</v>
      </c>
      <c r="AA147">
        <v>118.8</v>
      </c>
      <c r="AB147">
        <v>109.6</v>
      </c>
      <c r="AC147">
        <v>113.9</v>
      </c>
      <c r="AD147">
        <v>120.1</v>
      </c>
    </row>
    <row r="148" spans="1:30" x14ac:dyDescent="0.25">
      <c r="A148" t="s">
        <v>34</v>
      </c>
      <c r="B148">
        <v>2014</v>
      </c>
      <c r="C148" t="s">
        <v>45</v>
      </c>
      <c r="D148">
        <v>123.3</v>
      </c>
      <c r="E148">
        <v>123.7</v>
      </c>
      <c r="F148">
        <v>121</v>
      </c>
      <c r="G148">
        <v>124.2</v>
      </c>
      <c r="H148">
        <v>107.8</v>
      </c>
      <c r="I148">
        <v>125.7</v>
      </c>
      <c r="J148">
        <v>152.4</v>
      </c>
      <c r="K148">
        <v>117.2</v>
      </c>
      <c r="L148">
        <v>102.1</v>
      </c>
      <c r="M148">
        <v>118.7</v>
      </c>
      <c r="N148">
        <v>116.4</v>
      </c>
      <c r="O148">
        <v>125.6</v>
      </c>
      <c r="P148">
        <v>125.1</v>
      </c>
      <c r="Q148">
        <v>122.1</v>
      </c>
      <c r="R148">
        <v>122.1</v>
      </c>
      <c r="S148">
        <v>118.4</v>
      </c>
      <c r="T148">
        <v>121.6</v>
      </c>
      <c r="U148">
        <v>117.1</v>
      </c>
      <c r="V148">
        <v>115.5</v>
      </c>
      <c r="W148">
        <v>117.3</v>
      </c>
      <c r="X148">
        <v>114.8</v>
      </c>
      <c r="Y148">
        <v>110.8</v>
      </c>
      <c r="Z148">
        <v>113.7</v>
      </c>
      <c r="AA148">
        <v>119</v>
      </c>
      <c r="AB148">
        <v>109.1</v>
      </c>
      <c r="AC148">
        <v>113.8</v>
      </c>
      <c r="AD148">
        <v>120.1</v>
      </c>
    </row>
    <row r="149" spans="1:30" x14ac:dyDescent="0.25">
      <c r="A149" t="s">
        <v>34</v>
      </c>
      <c r="B149">
        <v>2014</v>
      </c>
      <c r="C149" t="s">
        <v>46</v>
      </c>
      <c r="D149">
        <v>122.9</v>
      </c>
      <c r="E149">
        <v>123.2</v>
      </c>
      <c r="F149">
        <v>123.5</v>
      </c>
      <c r="G149">
        <v>124.5</v>
      </c>
      <c r="H149">
        <v>107.6</v>
      </c>
      <c r="I149">
        <v>125.7</v>
      </c>
      <c r="J149">
        <v>140.5</v>
      </c>
      <c r="K149">
        <v>117.6</v>
      </c>
      <c r="L149">
        <v>100.6</v>
      </c>
      <c r="M149">
        <v>119.1</v>
      </c>
      <c r="N149">
        <v>116.8</v>
      </c>
      <c r="O149">
        <v>126.1</v>
      </c>
      <c r="P149">
        <v>123.6</v>
      </c>
      <c r="Q149">
        <v>123</v>
      </c>
      <c r="R149">
        <v>122.6</v>
      </c>
      <c r="S149">
        <v>118.6</v>
      </c>
      <c r="T149">
        <v>122</v>
      </c>
      <c r="U149">
        <v>116.5</v>
      </c>
      <c r="V149">
        <v>115.7</v>
      </c>
      <c r="W149">
        <v>117.5</v>
      </c>
      <c r="X149">
        <v>115.1</v>
      </c>
      <c r="Y149">
        <v>110.1</v>
      </c>
      <c r="Z149">
        <v>113.9</v>
      </c>
      <c r="AA149">
        <v>119.5</v>
      </c>
      <c r="AB149">
        <v>109.8</v>
      </c>
      <c r="AC149">
        <v>113.8</v>
      </c>
      <c r="AD149">
        <v>119.4</v>
      </c>
    </row>
    <row r="150" spans="1:30" x14ac:dyDescent="0.25">
      <c r="A150" t="s">
        <v>34</v>
      </c>
      <c r="B150">
        <v>2015</v>
      </c>
      <c r="C150" t="s">
        <v>31</v>
      </c>
      <c r="D150">
        <v>123.4</v>
      </c>
      <c r="E150">
        <v>123.9</v>
      </c>
      <c r="F150">
        <v>123.8</v>
      </c>
      <c r="G150">
        <v>125</v>
      </c>
      <c r="H150">
        <v>108.5</v>
      </c>
      <c r="I150">
        <v>126.2</v>
      </c>
      <c r="J150">
        <v>133</v>
      </c>
      <c r="K150">
        <v>119.1</v>
      </c>
      <c r="L150">
        <v>99</v>
      </c>
      <c r="M150">
        <v>120.3</v>
      </c>
      <c r="N150">
        <v>117.3</v>
      </c>
      <c r="O150">
        <v>126.7</v>
      </c>
      <c r="P150">
        <v>123.1</v>
      </c>
      <c r="Q150">
        <v>124</v>
      </c>
      <c r="R150">
        <v>123.1</v>
      </c>
      <c r="S150">
        <v>119.3</v>
      </c>
      <c r="T150">
        <v>122.5</v>
      </c>
      <c r="U150">
        <v>117.3</v>
      </c>
      <c r="V150">
        <v>116.5</v>
      </c>
      <c r="W150">
        <v>118.1</v>
      </c>
      <c r="X150">
        <v>115.5</v>
      </c>
      <c r="Y150">
        <v>109.4</v>
      </c>
      <c r="Z150">
        <v>114.3</v>
      </c>
      <c r="AA150">
        <v>119.7</v>
      </c>
      <c r="AB150">
        <v>110.7</v>
      </c>
      <c r="AC150">
        <v>114</v>
      </c>
      <c r="AD150">
        <v>119.5</v>
      </c>
    </row>
    <row r="151" spans="1:30" x14ac:dyDescent="0.25">
      <c r="A151" t="s">
        <v>34</v>
      </c>
      <c r="B151">
        <v>2015</v>
      </c>
      <c r="C151" t="s">
        <v>35</v>
      </c>
      <c r="D151">
        <v>123.7</v>
      </c>
      <c r="E151">
        <v>125.1</v>
      </c>
      <c r="F151">
        <v>121.1</v>
      </c>
      <c r="G151">
        <v>125.7</v>
      </c>
      <c r="H151">
        <v>109.1</v>
      </c>
      <c r="I151">
        <v>125.8</v>
      </c>
      <c r="J151">
        <v>129.4</v>
      </c>
      <c r="K151">
        <v>120.9</v>
      </c>
      <c r="L151">
        <v>98.3</v>
      </c>
      <c r="M151">
        <v>121.6</v>
      </c>
      <c r="N151">
        <v>118</v>
      </c>
      <c r="O151">
        <v>127.6</v>
      </c>
      <c r="P151">
        <v>123.1</v>
      </c>
      <c r="Q151">
        <v>125.2</v>
      </c>
      <c r="R151">
        <v>123.8</v>
      </c>
      <c r="S151">
        <v>120.1</v>
      </c>
      <c r="T151">
        <v>123.3</v>
      </c>
      <c r="U151">
        <v>118.1</v>
      </c>
      <c r="V151">
        <v>117.7</v>
      </c>
      <c r="W151">
        <v>118.7</v>
      </c>
      <c r="X151">
        <v>116.3</v>
      </c>
      <c r="Y151">
        <v>108.7</v>
      </c>
      <c r="Z151">
        <v>114.9</v>
      </c>
      <c r="AA151">
        <v>119.7</v>
      </c>
      <c r="AB151">
        <v>111.2</v>
      </c>
      <c r="AC151">
        <v>114.1</v>
      </c>
      <c r="AD151">
        <v>119.7</v>
      </c>
    </row>
    <row r="152" spans="1:30" x14ac:dyDescent="0.25">
      <c r="A152" t="s">
        <v>34</v>
      </c>
      <c r="B152">
        <v>2015</v>
      </c>
      <c r="C152" t="s">
        <v>36</v>
      </c>
      <c r="D152">
        <v>123.5</v>
      </c>
      <c r="E152">
        <v>125.4</v>
      </c>
      <c r="F152">
        <v>116.8</v>
      </c>
      <c r="G152">
        <v>126</v>
      </c>
      <c r="H152">
        <v>109.2</v>
      </c>
      <c r="I152">
        <v>127.6</v>
      </c>
      <c r="J152">
        <v>129.19999999999999</v>
      </c>
      <c r="K152">
        <v>122.4</v>
      </c>
      <c r="L152">
        <v>97</v>
      </c>
      <c r="M152">
        <v>122.1</v>
      </c>
      <c r="N152">
        <v>118.1</v>
      </c>
      <c r="O152">
        <v>128.4</v>
      </c>
      <c r="P152">
        <v>123.4</v>
      </c>
      <c r="Q152">
        <v>125.8</v>
      </c>
      <c r="R152">
        <v>124.3</v>
      </c>
      <c r="S152">
        <v>120.4</v>
      </c>
      <c r="T152">
        <v>123.7</v>
      </c>
      <c r="U152">
        <v>118.6</v>
      </c>
      <c r="V152">
        <v>118.3</v>
      </c>
      <c r="W152">
        <v>119.2</v>
      </c>
      <c r="X152">
        <v>116.7</v>
      </c>
      <c r="Y152">
        <v>109.9</v>
      </c>
      <c r="Z152">
        <v>115.4</v>
      </c>
      <c r="AA152">
        <v>120.1</v>
      </c>
      <c r="AB152">
        <v>111</v>
      </c>
      <c r="AC152">
        <v>114.7</v>
      </c>
      <c r="AD152">
        <v>120.2</v>
      </c>
    </row>
    <row r="153" spans="1:30" x14ac:dyDescent="0.25">
      <c r="A153" t="s">
        <v>34</v>
      </c>
      <c r="B153">
        <v>2015</v>
      </c>
      <c r="C153" t="s">
        <v>37</v>
      </c>
      <c r="D153">
        <v>123.5</v>
      </c>
      <c r="E153">
        <v>126.4</v>
      </c>
      <c r="F153">
        <v>114.4</v>
      </c>
      <c r="G153">
        <v>126.6</v>
      </c>
      <c r="H153">
        <v>109.2</v>
      </c>
      <c r="I153">
        <v>132.5</v>
      </c>
      <c r="J153">
        <v>128.6</v>
      </c>
      <c r="K153">
        <v>124.8</v>
      </c>
      <c r="L153">
        <v>95.7</v>
      </c>
      <c r="M153">
        <v>122.4</v>
      </c>
      <c r="N153">
        <v>118.5</v>
      </c>
      <c r="O153">
        <v>129.1</v>
      </c>
      <c r="P153">
        <v>124</v>
      </c>
      <c r="Q153">
        <v>126.9</v>
      </c>
      <c r="R153">
        <v>124.7</v>
      </c>
      <c r="S153">
        <v>120.8</v>
      </c>
      <c r="T153">
        <v>124.1</v>
      </c>
      <c r="U153">
        <v>119.2</v>
      </c>
      <c r="V153">
        <v>118.7</v>
      </c>
      <c r="W153">
        <v>119.7</v>
      </c>
      <c r="X153">
        <v>117.1</v>
      </c>
      <c r="Y153">
        <v>110.1</v>
      </c>
      <c r="Z153">
        <v>115.9</v>
      </c>
      <c r="AA153">
        <v>121</v>
      </c>
      <c r="AB153">
        <v>111.7</v>
      </c>
      <c r="AC153">
        <v>115.1</v>
      </c>
      <c r="AD153">
        <v>120.7</v>
      </c>
    </row>
    <row r="154" spans="1:30" x14ac:dyDescent="0.25">
      <c r="A154" t="s">
        <v>34</v>
      </c>
      <c r="B154">
        <v>2015</v>
      </c>
      <c r="C154" t="s">
        <v>38</v>
      </c>
      <c r="D154">
        <v>123.6</v>
      </c>
      <c r="E154">
        <v>128</v>
      </c>
      <c r="F154">
        <v>115</v>
      </c>
      <c r="G154">
        <v>127.3</v>
      </c>
      <c r="H154">
        <v>109.8</v>
      </c>
      <c r="I154">
        <v>132.6</v>
      </c>
      <c r="J154">
        <v>130.9</v>
      </c>
      <c r="K154">
        <v>130.5</v>
      </c>
      <c r="L154">
        <v>95.3</v>
      </c>
      <c r="M154">
        <v>123.4</v>
      </c>
      <c r="N154">
        <v>119.2</v>
      </c>
      <c r="O154">
        <v>129.80000000000001</v>
      </c>
      <c r="P154">
        <v>125</v>
      </c>
      <c r="Q154">
        <v>127.9</v>
      </c>
      <c r="R154">
        <v>125.4</v>
      </c>
      <c r="S154">
        <v>121.3</v>
      </c>
      <c r="T154">
        <v>124.7</v>
      </c>
      <c r="U154">
        <v>119.6</v>
      </c>
      <c r="V154">
        <v>119.2</v>
      </c>
      <c r="W154">
        <v>120.2</v>
      </c>
      <c r="X154">
        <v>117.7</v>
      </c>
      <c r="Y154">
        <v>112</v>
      </c>
      <c r="Z154">
        <v>116.3</v>
      </c>
      <c r="AA154">
        <v>121.4</v>
      </c>
      <c r="AB154">
        <v>112.3</v>
      </c>
      <c r="AC154">
        <v>116.1</v>
      </c>
      <c r="AD154">
        <v>121.6</v>
      </c>
    </row>
    <row r="155" spans="1:30" x14ac:dyDescent="0.25">
      <c r="A155" t="s">
        <v>34</v>
      </c>
      <c r="B155">
        <v>2015</v>
      </c>
      <c r="C155" t="s">
        <v>39</v>
      </c>
      <c r="D155">
        <v>123.9</v>
      </c>
      <c r="E155">
        <v>131.80000000000001</v>
      </c>
      <c r="F155">
        <v>121.6</v>
      </c>
      <c r="G155">
        <v>128.19999999999999</v>
      </c>
      <c r="H155">
        <v>111.1</v>
      </c>
      <c r="I155">
        <v>132.80000000000001</v>
      </c>
      <c r="J155">
        <v>139.1</v>
      </c>
      <c r="K155">
        <v>137.4</v>
      </c>
      <c r="L155">
        <v>94.1</v>
      </c>
      <c r="M155">
        <v>125.5</v>
      </c>
      <c r="N155">
        <v>119.8</v>
      </c>
      <c r="O155">
        <v>130.9</v>
      </c>
      <c r="P155">
        <v>127.3</v>
      </c>
      <c r="Q155">
        <v>129.19999999999999</v>
      </c>
      <c r="R155">
        <v>126.4</v>
      </c>
      <c r="S155">
        <v>122</v>
      </c>
      <c r="T155">
        <v>125.7</v>
      </c>
      <c r="U155">
        <v>119</v>
      </c>
      <c r="V155">
        <v>119.8</v>
      </c>
      <c r="W155">
        <v>121.1</v>
      </c>
      <c r="X155">
        <v>118.5</v>
      </c>
      <c r="Y155">
        <v>112.9</v>
      </c>
      <c r="Z155">
        <v>116.9</v>
      </c>
      <c r="AA155">
        <v>123.1</v>
      </c>
      <c r="AB155">
        <v>112.8</v>
      </c>
      <c r="AC155">
        <v>117</v>
      </c>
      <c r="AD155">
        <v>123</v>
      </c>
    </row>
    <row r="156" spans="1:30" x14ac:dyDescent="0.25">
      <c r="A156" t="s">
        <v>34</v>
      </c>
      <c r="B156">
        <v>2015</v>
      </c>
      <c r="C156" t="s">
        <v>40</v>
      </c>
      <c r="D156">
        <v>123.7</v>
      </c>
      <c r="E156">
        <v>132.5</v>
      </c>
      <c r="F156">
        <v>121</v>
      </c>
      <c r="G156">
        <v>128.30000000000001</v>
      </c>
      <c r="H156">
        <v>110.9</v>
      </c>
      <c r="I156">
        <v>133.1</v>
      </c>
      <c r="J156">
        <v>145.1</v>
      </c>
      <c r="K156">
        <v>139.1</v>
      </c>
      <c r="L156">
        <v>91.3</v>
      </c>
      <c r="M156">
        <v>126.1</v>
      </c>
      <c r="N156">
        <v>119.9</v>
      </c>
      <c r="O156">
        <v>131.4</v>
      </c>
      <c r="P156">
        <v>128.19999999999999</v>
      </c>
      <c r="Q156">
        <v>130.4</v>
      </c>
      <c r="R156">
        <v>126.7</v>
      </c>
      <c r="S156">
        <v>122.3</v>
      </c>
      <c r="T156">
        <v>126.1</v>
      </c>
      <c r="U156">
        <v>119.9</v>
      </c>
      <c r="V156">
        <v>120.1</v>
      </c>
      <c r="W156">
        <v>121.3</v>
      </c>
      <c r="X156">
        <v>119</v>
      </c>
      <c r="Y156">
        <v>112.7</v>
      </c>
      <c r="Z156">
        <v>117.2</v>
      </c>
      <c r="AA156">
        <v>124.4</v>
      </c>
      <c r="AB156">
        <v>112.3</v>
      </c>
      <c r="AC156">
        <v>117.2</v>
      </c>
      <c r="AD156">
        <v>123.6</v>
      </c>
    </row>
    <row r="157" spans="1:30" x14ac:dyDescent="0.25">
      <c r="A157" t="s">
        <v>34</v>
      </c>
      <c r="B157">
        <v>2015</v>
      </c>
      <c r="C157" t="s">
        <v>41</v>
      </c>
      <c r="D157">
        <v>124.2</v>
      </c>
      <c r="E157">
        <v>131.4</v>
      </c>
      <c r="F157">
        <v>120.1</v>
      </c>
      <c r="G157">
        <v>128.5</v>
      </c>
      <c r="H157">
        <v>111.4</v>
      </c>
      <c r="I157">
        <v>132.30000000000001</v>
      </c>
      <c r="J157">
        <v>157.6</v>
      </c>
      <c r="K157">
        <v>144</v>
      </c>
      <c r="L157">
        <v>90.5</v>
      </c>
      <c r="M157">
        <v>126.8</v>
      </c>
      <c r="N157">
        <v>120.4</v>
      </c>
      <c r="O157">
        <v>132.1</v>
      </c>
      <c r="P157">
        <v>130.30000000000001</v>
      </c>
      <c r="Q157">
        <v>131.19999999999999</v>
      </c>
      <c r="R157">
        <v>127.2</v>
      </c>
      <c r="S157">
        <v>122.9</v>
      </c>
      <c r="T157">
        <v>126.6</v>
      </c>
      <c r="U157">
        <v>120.9</v>
      </c>
      <c r="V157">
        <v>120.6</v>
      </c>
      <c r="W157">
        <v>122</v>
      </c>
      <c r="X157">
        <v>119.4</v>
      </c>
      <c r="Y157">
        <v>111.7</v>
      </c>
      <c r="Z157">
        <v>117.8</v>
      </c>
      <c r="AA157">
        <v>125.1</v>
      </c>
      <c r="AB157">
        <v>112.3</v>
      </c>
      <c r="AC157">
        <v>117.2</v>
      </c>
      <c r="AD157">
        <v>124.8</v>
      </c>
    </row>
    <row r="158" spans="1:30" x14ac:dyDescent="0.25">
      <c r="A158" t="s">
        <v>34</v>
      </c>
      <c r="B158">
        <v>2015</v>
      </c>
      <c r="C158" t="s">
        <v>42</v>
      </c>
      <c r="D158">
        <v>124.6</v>
      </c>
      <c r="E158">
        <v>130.4</v>
      </c>
      <c r="F158">
        <v>118.7</v>
      </c>
      <c r="G158">
        <v>128.9</v>
      </c>
      <c r="H158">
        <v>111.9</v>
      </c>
      <c r="I158">
        <v>128.4</v>
      </c>
      <c r="J158">
        <v>162.19999999999999</v>
      </c>
      <c r="K158">
        <v>150</v>
      </c>
      <c r="L158">
        <v>90.4</v>
      </c>
      <c r="M158">
        <v>128.4</v>
      </c>
      <c r="N158">
        <v>120.7</v>
      </c>
      <c r="O158">
        <v>132.5</v>
      </c>
      <c r="P158">
        <v>131.19999999999999</v>
      </c>
      <c r="Q158">
        <v>132</v>
      </c>
      <c r="R158">
        <v>127.9</v>
      </c>
      <c r="S158">
        <v>123.4</v>
      </c>
      <c r="T158">
        <v>127.2</v>
      </c>
      <c r="U158">
        <v>121.6</v>
      </c>
      <c r="V158">
        <v>120.4</v>
      </c>
      <c r="W158">
        <v>122.6</v>
      </c>
      <c r="X158">
        <v>119.8</v>
      </c>
      <c r="Y158">
        <v>111.3</v>
      </c>
      <c r="Z158">
        <v>118.3</v>
      </c>
      <c r="AA158">
        <v>125.7</v>
      </c>
      <c r="AB158">
        <v>113.4</v>
      </c>
      <c r="AC158">
        <v>117.5</v>
      </c>
      <c r="AD158">
        <v>125.4</v>
      </c>
    </row>
    <row r="159" spans="1:30" x14ac:dyDescent="0.25">
      <c r="A159" t="s">
        <v>34</v>
      </c>
      <c r="B159">
        <v>2015</v>
      </c>
      <c r="C159" t="s">
        <v>43</v>
      </c>
      <c r="D159">
        <v>125</v>
      </c>
      <c r="E159">
        <v>129.80000000000001</v>
      </c>
      <c r="F159">
        <v>118.9</v>
      </c>
      <c r="G159">
        <v>129.1</v>
      </c>
      <c r="H159">
        <v>113.3</v>
      </c>
      <c r="I159">
        <v>129</v>
      </c>
      <c r="J159">
        <v>160.4</v>
      </c>
      <c r="K159">
        <v>165.3</v>
      </c>
      <c r="L159">
        <v>92.3</v>
      </c>
      <c r="M159">
        <v>129.69999999999999</v>
      </c>
      <c r="N159">
        <v>121.1</v>
      </c>
      <c r="O159">
        <v>133</v>
      </c>
      <c r="P159">
        <v>132.1</v>
      </c>
      <c r="Q159">
        <v>132.5</v>
      </c>
      <c r="R159">
        <v>128.5</v>
      </c>
      <c r="S159">
        <v>123.8</v>
      </c>
      <c r="T159">
        <v>127.8</v>
      </c>
      <c r="U159">
        <v>122.4</v>
      </c>
      <c r="V159">
        <v>120.8</v>
      </c>
      <c r="W159">
        <v>123</v>
      </c>
      <c r="X159">
        <v>120.4</v>
      </c>
      <c r="Y159">
        <v>111.4</v>
      </c>
      <c r="Z159">
        <v>118.7</v>
      </c>
      <c r="AA159">
        <v>125.9</v>
      </c>
      <c r="AB159">
        <v>113.9</v>
      </c>
      <c r="AC159">
        <v>117.9</v>
      </c>
      <c r="AD159">
        <v>126.1</v>
      </c>
    </row>
    <row r="160" spans="1:30" x14ac:dyDescent="0.25">
      <c r="A160" t="s">
        <v>34</v>
      </c>
      <c r="B160">
        <v>2015</v>
      </c>
      <c r="C160" t="s">
        <v>45</v>
      </c>
      <c r="D160">
        <v>125.4</v>
      </c>
      <c r="E160">
        <v>130.30000000000001</v>
      </c>
      <c r="F160">
        <v>121.6</v>
      </c>
      <c r="G160">
        <v>129.19999999999999</v>
      </c>
      <c r="H160">
        <v>114.9</v>
      </c>
      <c r="I160">
        <v>128.19999999999999</v>
      </c>
      <c r="J160">
        <v>158.4</v>
      </c>
      <c r="K160">
        <v>171.2</v>
      </c>
      <c r="L160">
        <v>93.3</v>
      </c>
      <c r="M160">
        <v>131.19999999999999</v>
      </c>
      <c r="N160">
        <v>121.7</v>
      </c>
      <c r="O160">
        <v>134</v>
      </c>
      <c r="P160">
        <v>132.69999999999999</v>
      </c>
      <c r="Q160">
        <v>133.6</v>
      </c>
      <c r="R160">
        <v>129.30000000000001</v>
      </c>
      <c r="S160">
        <v>124.5</v>
      </c>
      <c r="T160">
        <v>128.6</v>
      </c>
      <c r="U160">
        <v>122.9</v>
      </c>
      <c r="V160">
        <v>121.6</v>
      </c>
      <c r="W160">
        <v>123.4</v>
      </c>
      <c r="X160">
        <v>120.9</v>
      </c>
      <c r="Y160">
        <v>111.5</v>
      </c>
      <c r="Z160">
        <v>119.2</v>
      </c>
      <c r="AA160">
        <v>126.3</v>
      </c>
      <c r="AB160">
        <v>113.8</v>
      </c>
      <c r="AC160">
        <v>118.1</v>
      </c>
      <c r="AD160">
        <v>126.6</v>
      </c>
    </row>
    <row r="161" spans="1:30" x14ac:dyDescent="0.25">
      <c r="A161" t="s">
        <v>34</v>
      </c>
      <c r="B161">
        <v>2015</v>
      </c>
      <c r="C161" t="s">
        <v>46</v>
      </c>
      <c r="D161">
        <v>125.7</v>
      </c>
      <c r="E161">
        <v>131.4</v>
      </c>
      <c r="F161">
        <v>124.8</v>
      </c>
      <c r="G161">
        <v>129.4</v>
      </c>
      <c r="H161">
        <v>115.3</v>
      </c>
      <c r="I161">
        <v>126.6</v>
      </c>
      <c r="J161">
        <v>146.69999999999999</v>
      </c>
      <c r="K161">
        <v>171.5</v>
      </c>
      <c r="L161">
        <v>94.5</v>
      </c>
      <c r="M161">
        <v>132.1</v>
      </c>
      <c r="N161">
        <v>122</v>
      </c>
      <c r="O161">
        <v>134.69999999999999</v>
      </c>
      <c r="P161">
        <v>131.4</v>
      </c>
      <c r="Q161">
        <v>134.5</v>
      </c>
      <c r="R161">
        <v>129.69999999999999</v>
      </c>
      <c r="S161">
        <v>124.8</v>
      </c>
      <c r="T161">
        <v>129</v>
      </c>
      <c r="U161">
        <v>122.4</v>
      </c>
      <c r="V161">
        <v>122</v>
      </c>
      <c r="W161">
        <v>123.6</v>
      </c>
      <c r="X161">
        <v>121.4</v>
      </c>
      <c r="Y161">
        <v>111.5</v>
      </c>
      <c r="Z161">
        <v>119.6</v>
      </c>
      <c r="AA161">
        <v>126.2</v>
      </c>
      <c r="AB161">
        <v>113.7</v>
      </c>
      <c r="AC161">
        <v>118.3</v>
      </c>
      <c r="AD161">
        <v>126.1</v>
      </c>
    </row>
    <row r="162" spans="1:30" x14ac:dyDescent="0.25">
      <c r="A162" t="s">
        <v>34</v>
      </c>
      <c r="B162">
        <v>2016</v>
      </c>
      <c r="C162" t="s">
        <v>31</v>
      </c>
      <c r="D162">
        <v>126.1</v>
      </c>
      <c r="E162">
        <v>134.1</v>
      </c>
      <c r="F162">
        <v>128.6</v>
      </c>
      <c r="G162">
        <v>129.9</v>
      </c>
      <c r="H162">
        <v>115.5</v>
      </c>
      <c r="I162">
        <v>125.7</v>
      </c>
      <c r="J162">
        <v>141.5</v>
      </c>
      <c r="K162">
        <v>170.7</v>
      </c>
      <c r="L162">
        <v>97.4</v>
      </c>
      <c r="M162">
        <v>132.9</v>
      </c>
      <c r="N162">
        <v>122.7</v>
      </c>
      <c r="O162">
        <v>135.30000000000001</v>
      </c>
      <c r="P162">
        <v>131.30000000000001</v>
      </c>
      <c r="Q162">
        <v>135.19999999999999</v>
      </c>
      <c r="R162">
        <v>130.30000000000001</v>
      </c>
      <c r="S162">
        <v>125.1</v>
      </c>
      <c r="T162">
        <v>129.5</v>
      </c>
      <c r="U162">
        <v>123.4</v>
      </c>
      <c r="V162">
        <v>122.7</v>
      </c>
      <c r="W162">
        <v>124.2</v>
      </c>
      <c r="X162">
        <v>122</v>
      </c>
      <c r="Y162">
        <v>111.1</v>
      </c>
      <c r="Z162">
        <v>119.8</v>
      </c>
      <c r="AA162">
        <v>126.3</v>
      </c>
      <c r="AB162">
        <v>114.5</v>
      </c>
      <c r="AC162">
        <v>118.5</v>
      </c>
      <c r="AD162">
        <v>126.3</v>
      </c>
    </row>
    <row r="163" spans="1:30" x14ac:dyDescent="0.25">
      <c r="A163" t="s">
        <v>34</v>
      </c>
      <c r="B163">
        <v>2016</v>
      </c>
      <c r="C163" t="s">
        <v>35</v>
      </c>
      <c r="D163">
        <v>126.4</v>
      </c>
      <c r="E163">
        <v>134.19999999999999</v>
      </c>
      <c r="F163">
        <v>128.69999999999999</v>
      </c>
      <c r="G163">
        <v>130.30000000000001</v>
      </c>
      <c r="H163">
        <v>114.8</v>
      </c>
      <c r="I163">
        <v>124.9</v>
      </c>
      <c r="J163">
        <v>130.30000000000001</v>
      </c>
      <c r="K163">
        <v>167.4</v>
      </c>
      <c r="L163">
        <v>98.8</v>
      </c>
      <c r="M163">
        <v>133.6</v>
      </c>
      <c r="N163">
        <v>123</v>
      </c>
      <c r="O163">
        <v>135.80000000000001</v>
      </c>
      <c r="P163">
        <v>129.9</v>
      </c>
      <c r="Q163">
        <v>135.9</v>
      </c>
      <c r="R163">
        <v>130.9</v>
      </c>
      <c r="S163">
        <v>125.8</v>
      </c>
      <c r="T163">
        <v>130.19999999999999</v>
      </c>
      <c r="U163">
        <v>124.4</v>
      </c>
      <c r="V163">
        <v>123.1</v>
      </c>
      <c r="W163">
        <v>124.6</v>
      </c>
      <c r="X163">
        <v>122.5</v>
      </c>
      <c r="Y163">
        <v>111.4</v>
      </c>
      <c r="Z163">
        <v>120.3</v>
      </c>
      <c r="AA163">
        <v>126.6</v>
      </c>
      <c r="AB163">
        <v>116.6</v>
      </c>
      <c r="AC163">
        <v>119.1</v>
      </c>
      <c r="AD163">
        <v>126</v>
      </c>
    </row>
    <row r="164" spans="1:30" x14ac:dyDescent="0.25">
      <c r="A164" t="s">
        <v>34</v>
      </c>
      <c r="B164">
        <v>2016</v>
      </c>
      <c r="C164" t="s">
        <v>36</v>
      </c>
      <c r="D164">
        <v>126.5</v>
      </c>
      <c r="E164">
        <v>135.1</v>
      </c>
      <c r="F164">
        <v>124.6</v>
      </c>
      <c r="G164">
        <v>130.19999999999999</v>
      </c>
      <c r="H164">
        <v>114.5</v>
      </c>
      <c r="I164">
        <v>126.2</v>
      </c>
      <c r="J164">
        <v>129.80000000000001</v>
      </c>
      <c r="K164">
        <v>164.3</v>
      </c>
      <c r="L164">
        <v>100.9</v>
      </c>
      <c r="M164">
        <v>133.9</v>
      </c>
      <c r="N164">
        <v>123.1</v>
      </c>
      <c r="O164">
        <v>136.30000000000001</v>
      </c>
      <c r="P164">
        <v>129.80000000000001</v>
      </c>
      <c r="Q164">
        <v>136.5</v>
      </c>
      <c r="R164">
        <v>131.30000000000001</v>
      </c>
      <c r="S164">
        <v>126.1</v>
      </c>
      <c r="T164">
        <v>130.5</v>
      </c>
      <c r="U164">
        <v>124.9</v>
      </c>
      <c r="V164">
        <v>122.4</v>
      </c>
      <c r="W164">
        <v>125.1</v>
      </c>
      <c r="X164">
        <v>122.9</v>
      </c>
      <c r="Y164">
        <v>110.9</v>
      </c>
      <c r="Z164">
        <v>120.6</v>
      </c>
      <c r="AA164">
        <v>126.9</v>
      </c>
      <c r="AB164">
        <v>117.3</v>
      </c>
      <c r="AC164">
        <v>119.3</v>
      </c>
      <c r="AD164">
        <v>126</v>
      </c>
    </row>
    <row r="165" spans="1:30" x14ac:dyDescent="0.25">
      <c r="A165" t="s">
        <v>34</v>
      </c>
      <c r="B165">
        <v>2016</v>
      </c>
      <c r="C165" t="s">
        <v>37</v>
      </c>
      <c r="D165">
        <v>126.6</v>
      </c>
      <c r="E165">
        <v>136.80000000000001</v>
      </c>
      <c r="F165">
        <v>122</v>
      </c>
      <c r="G165">
        <v>130.9</v>
      </c>
      <c r="H165">
        <v>114.8</v>
      </c>
      <c r="I165">
        <v>134.80000000000001</v>
      </c>
      <c r="J165">
        <v>135</v>
      </c>
      <c r="K165">
        <v>167.5</v>
      </c>
      <c r="L165">
        <v>106.4</v>
      </c>
      <c r="M165">
        <v>134.4</v>
      </c>
      <c r="N165">
        <v>123.6</v>
      </c>
      <c r="O165">
        <v>136.69999999999999</v>
      </c>
      <c r="P165">
        <v>131.80000000000001</v>
      </c>
      <c r="Q165">
        <v>137.1</v>
      </c>
      <c r="R165">
        <v>131.80000000000001</v>
      </c>
      <c r="S165">
        <v>126.4</v>
      </c>
      <c r="T165">
        <v>131</v>
      </c>
      <c r="U165">
        <v>125.6</v>
      </c>
      <c r="V165">
        <v>122.3</v>
      </c>
      <c r="W165">
        <v>125.5</v>
      </c>
      <c r="X165">
        <v>123.2</v>
      </c>
      <c r="Y165">
        <v>112.1</v>
      </c>
      <c r="Z165">
        <v>121.1</v>
      </c>
      <c r="AA165">
        <v>127.7</v>
      </c>
      <c r="AB165">
        <v>118.1</v>
      </c>
      <c r="AC165">
        <v>120</v>
      </c>
      <c r="AD165">
        <v>127.3</v>
      </c>
    </row>
    <row r="166" spans="1:30" x14ac:dyDescent="0.25">
      <c r="A166" t="s">
        <v>34</v>
      </c>
      <c r="B166">
        <v>2019</v>
      </c>
      <c r="C166" t="s">
        <v>31</v>
      </c>
      <c r="D166">
        <v>137.1</v>
      </c>
      <c r="E166">
        <v>151.4</v>
      </c>
      <c r="F166">
        <v>140.19999999999999</v>
      </c>
      <c r="G166">
        <v>142.1</v>
      </c>
      <c r="H166">
        <v>121.8</v>
      </c>
      <c r="I166">
        <v>135.4</v>
      </c>
      <c r="J166">
        <v>131.30000000000001</v>
      </c>
      <c r="K166">
        <v>120.3</v>
      </c>
      <c r="L166">
        <v>109.1</v>
      </c>
      <c r="M166">
        <v>139.4</v>
      </c>
      <c r="N166">
        <v>133.30000000000001</v>
      </c>
      <c r="O166">
        <v>154.6</v>
      </c>
      <c r="P166">
        <v>137.4</v>
      </c>
      <c r="Q166">
        <v>163.19999999999999</v>
      </c>
      <c r="R166">
        <v>147.6</v>
      </c>
      <c r="S166">
        <v>139</v>
      </c>
      <c r="T166">
        <v>146.4</v>
      </c>
      <c r="U166">
        <v>147.69999999999999</v>
      </c>
      <c r="V166">
        <v>139.5</v>
      </c>
      <c r="W166">
        <v>143.6</v>
      </c>
      <c r="X166">
        <v>145.1</v>
      </c>
      <c r="Y166">
        <v>123.3</v>
      </c>
      <c r="Z166">
        <v>136.69999999999999</v>
      </c>
      <c r="AA166">
        <v>150.19999999999999</v>
      </c>
      <c r="AB166">
        <v>132.80000000000001</v>
      </c>
      <c r="AC166">
        <v>136.9</v>
      </c>
      <c r="AD166">
        <v>139.6</v>
      </c>
    </row>
    <row r="167" spans="1:30" x14ac:dyDescent="0.25">
      <c r="A167" t="s">
        <v>34</v>
      </c>
      <c r="B167">
        <v>2016</v>
      </c>
      <c r="C167" t="s">
        <v>38</v>
      </c>
      <c r="D167">
        <v>126.8</v>
      </c>
      <c r="E167">
        <v>139.1</v>
      </c>
      <c r="F167">
        <v>125.4</v>
      </c>
      <c r="G167">
        <v>131.69999999999999</v>
      </c>
      <c r="H167">
        <v>115</v>
      </c>
      <c r="I167">
        <v>136</v>
      </c>
      <c r="J167">
        <v>145.1</v>
      </c>
      <c r="K167">
        <v>171.7</v>
      </c>
      <c r="L167">
        <v>108.7</v>
      </c>
      <c r="M167">
        <v>135.30000000000001</v>
      </c>
      <c r="N167">
        <v>124.2</v>
      </c>
      <c r="O167">
        <v>137.4</v>
      </c>
      <c r="P167">
        <v>134</v>
      </c>
      <c r="Q167">
        <v>137.69999999999999</v>
      </c>
      <c r="R167">
        <v>132.19999999999999</v>
      </c>
      <c r="S167">
        <v>126.8</v>
      </c>
      <c r="T167">
        <v>131.4</v>
      </c>
      <c r="U167">
        <v>126</v>
      </c>
      <c r="V167">
        <v>122.7</v>
      </c>
      <c r="W167">
        <v>126</v>
      </c>
      <c r="X167">
        <v>123.7</v>
      </c>
      <c r="Y167">
        <v>112.8</v>
      </c>
      <c r="Z167">
        <v>121.5</v>
      </c>
      <c r="AA167">
        <v>128.5</v>
      </c>
      <c r="AB167">
        <v>119.2</v>
      </c>
      <c r="AC167">
        <v>120.7</v>
      </c>
      <c r="AD167">
        <v>128.6</v>
      </c>
    </row>
    <row r="168" spans="1:30" x14ac:dyDescent="0.25">
      <c r="A168" t="s">
        <v>34</v>
      </c>
      <c r="B168">
        <v>2019</v>
      </c>
      <c r="C168" t="s">
        <v>35</v>
      </c>
      <c r="D168">
        <v>137.6</v>
      </c>
      <c r="E168">
        <v>152</v>
      </c>
      <c r="F168">
        <v>141.5</v>
      </c>
      <c r="G168">
        <v>142.19999999999999</v>
      </c>
      <c r="H168">
        <v>122</v>
      </c>
      <c r="I168">
        <v>136.4</v>
      </c>
      <c r="J168">
        <v>129.69999999999999</v>
      </c>
      <c r="K168">
        <v>121</v>
      </c>
      <c r="L168">
        <v>109</v>
      </c>
      <c r="M168">
        <v>139.69999999999999</v>
      </c>
      <c r="N168">
        <v>133.6</v>
      </c>
      <c r="O168">
        <v>154.9</v>
      </c>
      <c r="P168">
        <v>137.5</v>
      </c>
      <c r="Q168">
        <v>163.4</v>
      </c>
      <c r="R168">
        <v>147.69999999999999</v>
      </c>
      <c r="S168">
        <v>139.69999999999999</v>
      </c>
      <c r="T168">
        <v>146.5</v>
      </c>
      <c r="U168">
        <v>148.5</v>
      </c>
      <c r="V168">
        <v>138.4</v>
      </c>
      <c r="W168">
        <v>143.69999999999999</v>
      </c>
      <c r="X168">
        <v>145.6</v>
      </c>
      <c r="Y168">
        <v>123.9</v>
      </c>
      <c r="Z168">
        <v>137.1</v>
      </c>
      <c r="AA168">
        <v>150.30000000000001</v>
      </c>
      <c r="AB168">
        <v>134.1</v>
      </c>
      <c r="AC168">
        <v>137.4</v>
      </c>
      <c r="AD168">
        <v>139.9</v>
      </c>
    </row>
    <row r="169" spans="1:30" x14ac:dyDescent="0.25">
      <c r="A169" t="s">
        <v>34</v>
      </c>
      <c r="B169">
        <v>2016</v>
      </c>
      <c r="C169" t="s">
        <v>39</v>
      </c>
      <c r="D169">
        <v>127.7</v>
      </c>
      <c r="E169">
        <v>140.5</v>
      </c>
      <c r="F169">
        <v>128.30000000000001</v>
      </c>
      <c r="G169">
        <v>132.6</v>
      </c>
      <c r="H169">
        <v>115.5</v>
      </c>
      <c r="I169">
        <v>136.5</v>
      </c>
      <c r="J169">
        <v>159.69999999999999</v>
      </c>
      <c r="K169">
        <v>174.3</v>
      </c>
      <c r="L169">
        <v>109.9</v>
      </c>
      <c r="M169">
        <v>136.30000000000001</v>
      </c>
      <c r="N169">
        <v>124.4</v>
      </c>
      <c r="O169">
        <v>138.1</v>
      </c>
      <c r="P169">
        <v>136.80000000000001</v>
      </c>
      <c r="Q169">
        <v>138.69999999999999</v>
      </c>
      <c r="R169">
        <v>132.9</v>
      </c>
      <c r="S169">
        <v>127.2</v>
      </c>
      <c r="T169">
        <v>132</v>
      </c>
      <c r="U169">
        <v>125.5</v>
      </c>
      <c r="V169">
        <v>123.3</v>
      </c>
      <c r="W169">
        <v>126.4</v>
      </c>
      <c r="X169">
        <v>124.1</v>
      </c>
      <c r="Y169">
        <v>114.2</v>
      </c>
      <c r="Z169">
        <v>121.7</v>
      </c>
      <c r="AA169">
        <v>129.69999999999999</v>
      </c>
      <c r="AB169">
        <v>119.4</v>
      </c>
      <c r="AC169">
        <v>121.5</v>
      </c>
      <c r="AD169">
        <v>130.1</v>
      </c>
    </row>
    <row r="170" spans="1:30" x14ac:dyDescent="0.25">
      <c r="A170" t="s">
        <v>34</v>
      </c>
      <c r="B170">
        <v>2019</v>
      </c>
      <c r="C170" t="s">
        <v>36</v>
      </c>
      <c r="D170">
        <v>137.80000000000001</v>
      </c>
      <c r="E170">
        <v>153</v>
      </c>
      <c r="F170">
        <v>140.30000000000001</v>
      </c>
      <c r="G170">
        <v>142.30000000000001</v>
      </c>
      <c r="H170">
        <v>122</v>
      </c>
      <c r="I170">
        <v>137.6</v>
      </c>
      <c r="J170">
        <v>132.6</v>
      </c>
      <c r="K170">
        <v>121.8</v>
      </c>
      <c r="L170">
        <v>109</v>
      </c>
      <c r="M170">
        <v>139.5</v>
      </c>
      <c r="N170">
        <v>133.69999999999999</v>
      </c>
      <c r="O170">
        <v>155.19999999999999</v>
      </c>
      <c r="P170">
        <v>138.1</v>
      </c>
      <c r="Q170">
        <v>163.5</v>
      </c>
      <c r="R170">
        <v>147.9</v>
      </c>
      <c r="S170">
        <v>139.9</v>
      </c>
      <c r="T170">
        <v>146.69999999999999</v>
      </c>
      <c r="U170">
        <v>149</v>
      </c>
      <c r="V170">
        <v>139.69999999999999</v>
      </c>
      <c r="W170">
        <v>143.80000000000001</v>
      </c>
      <c r="X170">
        <v>146.19999999999999</v>
      </c>
      <c r="Y170">
        <v>124.6</v>
      </c>
      <c r="Z170">
        <v>137.69999999999999</v>
      </c>
      <c r="AA170">
        <v>150.30000000000001</v>
      </c>
      <c r="AB170">
        <v>133.4</v>
      </c>
      <c r="AC170">
        <v>137.69999999999999</v>
      </c>
      <c r="AD170">
        <v>140.4</v>
      </c>
    </row>
    <row r="171" spans="1:30" x14ac:dyDescent="0.25">
      <c r="A171" t="s">
        <v>34</v>
      </c>
      <c r="B171">
        <v>2016</v>
      </c>
      <c r="C171" t="s">
        <v>40</v>
      </c>
      <c r="D171">
        <v>128.5</v>
      </c>
      <c r="E171">
        <v>141.19999999999999</v>
      </c>
      <c r="F171">
        <v>132.30000000000001</v>
      </c>
      <c r="G171">
        <v>133.5</v>
      </c>
      <c r="H171">
        <v>116.4</v>
      </c>
      <c r="I171">
        <v>137.80000000000001</v>
      </c>
      <c r="J171">
        <v>165.4</v>
      </c>
      <c r="K171">
        <v>177.4</v>
      </c>
      <c r="L171">
        <v>111.3</v>
      </c>
      <c r="M171">
        <v>137.5</v>
      </c>
      <c r="N171">
        <v>125</v>
      </c>
      <c r="O171">
        <v>138.80000000000001</v>
      </c>
      <c r="P171">
        <v>138.4</v>
      </c>
      <c r="Q171">
        <v>139.30000000000001</v>
      </c>
      <c r="R171">
        <v>133.5</v>
      </c>
      <c r="S171">
        <v>127.6</v>
      </c>
      <c r="T171">
        <v>132.69999999999999</v>
      </c>
      <c r="U171">
        <v>126.4</v>
      </c>
      <c r="V171">
        <v>123.4</v>
      </c>
      <c r="W171">
        <v>126.9</v>
      </c>
      <c r="X171">
        <v>124.5</v>
      </c>
      <c r="Y171">
        <v>113.9</v>
      </c>
      <c r="Z171">
        <v>122.4</v>
      </c>
      <c r="AA171">
        <v>130.80000000000001</v>
      </c>
      <c r="AB171">
        <v>120.5</v>
      </c>
      <c r="AC171">
        <v>121.9</v>
      </c>
      <c r="AD171">
        <v>131.1</v>
      </c>
    </row>
    <row r="172" spans="1:30" x14ac:dyDescent="0.25">
      <c r="A172" t="s">
        <v>34</v>
      </c>
      <c r="B172">
        <v>2019</v>
      </c>
      <c r="C172" t="s">
        <v>38</v>
      </c>
      <c r="D172">
        <v>138.30000000000001</v>
      </c>
      <c r="E172">
        <v>158.5</v>
      </c>
      <c r="F172">
        <v>136</v>
      </c>
      <c r="G172">
        <v>142.5</v>
      </c>
      <c r="H172">
        <v>122</v>
      </c>
      <c r="I172">
        <v>146.5</v>
      </c>
      <c r="J172">
        <v>143</v>
      </c>
      <c r="K172">
        <v>124.9</v>
      </c>
      <c r="L172">
        <v>109.9</v>
      </c>
      <c r="M172">
        <v>139.9</v>
      </c>
      <c r="N172">
        <v>134</v>
      </c>
      <c r="O172">
        <v>155.5</v>
      </c>
      <c r="P172">
        <v>140.9</v>
      </c>
      <c r="Q172">
        <v>164.1</v>
      </c>
      <c r="R172">
        <v>148.4</v>
      </c>
      <c r="S172">
        <v>140.4</v>
      </c>
      <c r="T172">
        <v>147.30000000000001</v>
      </c>
      <c r="U172">
        <v>150.1</v>
      </c>
      <c r="V172">
        <v>140.30000000000001</v>
      </c>
      <c r="W172">
        <v>143.69999999999999</v>
      </c>
      <c r="X172">
        <v>146.9</v>
      </c>
      <c r="Y172">
        <v>124.9</v>
      </c>
      <c r="Z172">
        <v>139.19999999999999</v>
      </c>
      <c r="AA172">
        <v>151.6</v>
      </c>
      <c r="AB172">
        <v>133.4</v>
      </c>
      <c r="AC172">
        <v>138.19999999999999</v>
      </c>
      <c r="AD172">
        <v>142</v>
      </c>
    </row>
    <row r="173" spans="1:30" x14ac:dyDescent="0.25">
      <c r="A173" t="s">
        <v>34</v>
      </c>
      <c r="B173">
        <v>2016</v>
      </c>
      <c r="C173" t="s">
        <v>41</v>
      </c>
      <c r="D173">
        <v>129.30000000000001</v>
      </c>
      <c r="E173">
        <v>139.30000000000001</v>
      </c>
      <c r="F173">
        <v>131.6</v>
      </c>
      <c r="G173">
        <v>134.1</v>
      </c>
      <c r="H173">
        <v>116.9</v>
      </c>
      <c r="I173">
        <v>138.1</v>
      </c>
      <c r="J173">
        <v>159.1</v>
      </c>
      <c r="K173">
        <v>175.6</v>
      </c>
      <c r="L173">
        <v>112.9</v>
      </c>
      <c r="M173">
        <v>138.1</v>
      </c>
      <c r="N173">
        <v>125.5</v>
      </c>
      <c r="O173">
        <v>139.5</v>
      </c>
      <c r="P173">
        <v>137.9</v>
      </c>
      <c r="Q173">
        <v>140.19999999999999</v>
      </c>
      <c r="R173">
        <v>134.1</v>
      </c>
      <c r="S173">
        <v>128.19999999999999</v>
      </c>
      <c r="T173">
        <v>133.19999999999999</v>
      </c>
      <c r="U173">
        <v>127.3</v>
      </c>
      <c r="V173">
        <v>123.6</v>
      </c>
      <c r="W173">
        <v>127.4</v>
      </c>
      <c r="X173">
        <v>124.8</v>
      </c>
      <c r="Y173">
        <v>113.1</v>
      </c>
      <c r="Z173">
        <v>122.7</v>
      </c>
      <c r="AA173">
        <v>131.69999999999999</v>
      </c>
      <c r="AB173">
        <v>121.5</v>
      </c>
      <c r="AC173">
        <v>122.1</v>
      </c>
      <c r="AD173">
        <v>131.1</v>
      </c>
    </row>
    <row r="174" spans="1:30" x14ac:dyDescent="0.25">
      <c r="A174" t="s">
        <v>34</v>
      </c>
      <c r="B174">
        <v>2019</v>
      </c>
      <c r="C174" t="s">
        <v>39</v>
      </c>
      <c r="D174">
        <v>138.69999999999999</v>
      </c>
      <c r="E174">
        <v>162.1</v>
      </c>
      <c r="F174">
        <v>137.80000000000001</v>
      </c>
      <c r="G174">
        <v>143.30000000000001</v>
      </c>
      <c r="H174">
        <v>122.2</v>
      </c>
      <c r="I174">
        <v>146.80000000000001</v>
      </c>
      <c r="J174">
        <v>150.5</v>
      </c>
      <c r="K174">
        <v>128.30000000000001</v>
      </c>
      <c r="L174">
        <v>111</v>
      </c>
      <c r="M174">
        <v>140.6</v>
      </c>
      <c r="N174">
        <v>134.19999999999999</v>
      </c>
      <c r="O174">
        <v>155.9</v>
      </c>
      <c r="P174">
        <v>142.69999999999999</v>
      </c>
      <c r="Q174">
        <v>164.9</v>
      </c>
      <c r="R174">
        <v>148.6</v>
      </c>
      <c r="S174">
        <v>140.4</v>
      </c>
      <c r="T174">
        <v>147.4</v>
      </c>
      <c r="U174">
        <v>149.4</v>
      </c>
      <c r="V174">
        <v>141.19999999999999</v>
      </c>
      <c r="W174">
        <v>143.80000000000001</v>
      </c>
      <c r="X174">
        <v>147.4</v>
      </c>
      <c r="Y174">
        <v>124.6</v>
      </c>
      <c r="Z174">
        <v>139.6</v>
      </c>
      <c r="AA174">
        <v>152.5</v>
      </c>
      <c r="AB174">
        <v>134.30000000000001</v>
      </c>
      <c r="AC174">
        <v>138.6</v>
      </c>
      <c r="AD174">
        <v>142.9</v>
      </c>
    </row>
    <row r="175" spans="1:30" x14ac:dyDescent="0.25">
      <c r="A175" t="s">
        <v>34</v>
      </c>
      <c r="B175">
        <v>2016</v>
      </c>
      <c r="C175" t="s">
        <v>42</v>
      </c>
      <c r="D175">
        <v>129.9</v>
      </c>
      <c r="E175">
        <v>138</v>
      </c>
      <c r="F175">
        <v>130.5</v>
      </c>
      <c r="G175">
        <v>134.4</v>
      </c>
      <c r="H175">
        <v>117.2</v>
      </c>
      <c r="I175">
        <v>136.1</v>
      </c>
      <c r="J175">
        <v>150.69999999999999</v>
      </c>
      <c r="K175">
        <v>171.5</v>
      </c>
      <c r="L175">
        <v>113.8</v>
      </c>
      <c r="M175">
        <v>138.80000000000001</v>
      </c>
      <c r="N175">
        <v>126</v>
      </c>
      <c r="O175">
        <v>140.19999999999999</v>
      </c>
      <c r="P175">
        <v>136.6</v>
      </c>
      <c r="Q175">
        <v>141</v>
      </c>
      <c r="R175">
        <v>134.6</v>
      </c>
      <c r="S175">
        <v>128.6</v>
      </c>
      <c r="T175">
        <v>133.80000000000001</v>
      </c>
      <c r="U175">
        <v>127.9</v>
      </c>
      <c r="V175">
        <v>124.1</v>
      </c>
      <c r="W175">
        <v>127.9</v>
      </c>
      <c r="X175">
        <v>125.4</v>
      </c>
      <c r="Y175">
        <v>114.3</v>
      </c>
      <c r="Z175">
        <v>122.9</v>
      </c>
      <c r="AA175">
        <v>131.80000000000001</v>
      </c>
      <c r="AB175">
        <v>122.1</v>
      </c>
      <c r="AC175">
        <v>122.8</v>
      </c>
      <c r="AD175">
        <v>130.9</v>
      </c>
    </row>
    <row r="176" spans="1:30" x14ac:dyDescent="0.25">
      <c r="A176" t="s">
        <v>34</v>
      </c>
      <c r="B176">
        <v>2019</v>
      </c>
      <c r="C176" t="s">
        <v>40</v>
      </c>
      <c r="D176">
        <v>139.30000000000001</v>
      </c>
      <c r="E176">
        <v>162.69999999999999</v>
      </c>
      <c r="F176">
        <v>140</v>
      </c>
      <c r="G176">
        <v>144</v>
      </c>
      <c r="H176">
        <v>122.5</v>
      </c>
      <c r="I176">
        <v>150.30000000000001</v>
      </c>
      <c r="J176">
        <v>160.30000000000001</v>
      </c>
      <c r="K176">
        <v>130</v>
      </c>
      <c r="L176">
        <v>111.1</v>
      </c>
      <c r="M176">
        <v>141.69999999999999</v>
      </c>
      <c r="N176">
        <v>134.69999999999999</v>
      </c>
      <c r="O176">
        <v>156.19999999999999</v>
      </c>
      <c r="P176">
        <v>144.69999999999999</v>
      </c>
      <c r="Q176">
        <v>165.2</v>
      </c>
      <c r="R176">
        <v>148.9</v>
      </c>
      <c r="S176">
        <v>140.5</v>
      </c>
      <c r="T176">
        <v>147.6</v>
      </c>
      <c r="U176">
        <v>150.6</v>
      </c>
      <c r="V176">
        <v>139.30000000000001</v>
      </c>
      <c r="W176">
        <v>144.19999999999999</v>
      </c>
      <c r="X176">
        <v>147.9</v>
      </c>
      <c r="Y176">
        <v>125.6</v>
      </c>
      <c r="Z176">
        <v>140.5</v>
      </c>
      <c r="AA176">
        <v>154</v>
      </c>
      <c r="AB176">
        <v>135.69999999999999</v>
      </c>
      <c r="AC176">
        <v>139.5</v>
      </c>
      <c r="AD176">
        <v>144.19999999999999</v>
      </c>
    </row>
    <row r="177" spans="1:30" x14ac:dyDescent="0.25">
      <c r="A177" t="s">
        <v>34</v>
      </c>
      <c r="B177">
        <v>2016</v>
      </c>
      <c r="C177" t="s">
        <v>43</v>
      </c>
      <c r="D177">
        <v>130.5</v>
      </c>
      <c r="E177">
        <v>137.9</v>
      </c>
      <c r="F177">
        <v>130.19999999999999</v>
      </c>
      <c r="G177">
        <v>134.80000000000001</v>
      </c>
      <c r="H177">
        <v>117.8</v>
      </c>
      <c r="I177">
        <v>134.69999999999999</v>
      </c>
      <c r="J177">
        <v>151.19999999999999</v>
      </c>
      <c r="K177">
        <v>172.1</v>
      </c>
      <c r="L177">
        <v>114.1</v>
      </c>
      <c r="M177">
        <v>139.30000000000001</v>
      </c>
      <c r="N177">
        <v>126.1</v>
      </c>
      <c r="O177">
        <v>141.1</v>
      </c>
      <c r="P177">
        <v>137</v>
      </c>
      <c r="Q177">
        <v>141.80000000000001</v>
      </c>
      <c r="R177">
        <v>135.5</v>
      </c>
      <c r="S177">
        <v>129.1</v>
      </c>
      <c r="T177">
        <v>134.5</v>
      </c>
      <c r="U177">
        <v>128.69999999999999</v>
      </c>
      <c r="V177">
        <v>124.3</v>
      </c>
      <c r="W177">
        <v>128.4</v>
      </c>
      <c r="X177">
        <v>126.1</v>
      </c>
      <c r="Y177">
        <v>115.2</v>
      </c>
      <c r="Z177">
        <v>123.5</v>
      </c>
      <c r="AA177">
        <v>132.4</v>
      </c>
      <c r="AB177">
        <v>122.1</v>
      </c>
      <c r="AC177">
        <v>123.4</v>
      </c>
      <c r="AD177">
        <v>131.4</v>
      </c>
    </row>
    <row r="178" spans="1:30" x14ac:dyDescent="0.25">
      <c r="A178" t="s">
        <v>34</v>
      </c>
      <c r="B178">
        <v>2019</v>
      </c>
      <c r="C178" t="s">
        <v>41</v>
      </c>
      <c r="D178">
        <v>140.1</v>
      </c>
      <c r="E178">
        <v>160.6</v>
      </c>
      <c r="F178">
        <v>138.5</v>
      </c>
      <c r="G178">
        <v>144.69999999999999</v>
      </c>
      <c r="H178">
        <v>122.9</v>
      </c>
      <c r="I178">
        <v>149.4</v>
      </c>
      <c r="J178">
        <v>167.4</v>
      </c>
      <c r="K178">
        <v>130.9</v>
      </c>
      <c r="L178">
        <v>112</v>
      </c>
      <c r="M178">
        <v>142.6</v>
      </c>
      <c r="N178">
        <v>134.9</v>
      </c>
      <c r="O178">
        <v>156.6</v>
      </c>
      <c r="P178">
        <v>145.9</v>
      </c>
      <c r="Q178">
        <v>165.8</v>
      </c>
      <c r="R178">
        <v>149.1</v>
      </c>
      <c r="S178">
        <v>140.6</v>
      </c>
      <c r="T178">
        <v>147.9</v>
      </c>
      <c r="U178">
        <v>151.6</v>
      </c>
      <c r="V178">
        <v>138.5</v>
      </c>
      <c r="W178">
        <v>144.5</v>
      </c>
      <c r="X178">
        <v>148.5</v>
      </c>
      <c r="Y178">
        <v>125.8</v>
      </c>
      <c r="Z178">
        <v>140.9</v>
      </c>
      <c r="AA178">
        <v>154.9</v>
      </c>
      <c r="AB178">
        <v>138.4</v>
      </c>
      <c r="AC178">
        <v>140.19999999999999</v>
      </c>
      <c r="AD178">
        <v>145</v>
      </c>
    </row>
    <row r="179" spans="1:30" x14ac:dyDescent="0.25">
      <c r="A179" t="s">
        <v>34</v>
      </c>
      <c r="B179">
        <v>2016</v>
      </c>
      <c r="C179" t="s">
        <v>45</v>
      </c>
      <c r="D179">
        <v>131.4</v>
      </c>
      <c r="E179">
        <v>137.80000000000001</v>
      </c>
      <c r="F179">
        <v>132</v>
      </c>
      <c r="G179">
        <v>135</v>
      </c>
      <c r="H179">
        <v>118</v>
      </c>
      <c r="I179">
        <v>134.1</v>
      </c>
      <c r="J179">
        <v>141.9</v>
      </c>
      <c r="K179">
        <v>171.7</v>
      </c>
      <c r="L179">
        <v>114.1</v>
      </c>
      <c r="M179">
        <v>139.69999999999999</v>
      </c>
      <c r="N179">
        <v>126.2</v>
      </c>
      <c r="O179">
        <v>141.80000000000001</v>
      </c>
      <c r="P179">
        <v>136.1</v>
      </c>
      <c r="Q179">
        <v>142</v>
      </c>
      <c r="R179">
        <v>135.80000000000001</v>
      </c>
      <c r="S179">
        <v>129.30000000000001</v>
      </c>
      <c r="T179">
        <v>135</v>
      </c>
      <c r="U179">
        <v>129.1</v>
      </c>
      <c r="V179">
        <v>125</v>
      </c>
      <c r="W179">
        <v>128.6</v>
      </c>
      <c r="X179">
        <v>126.4</v>
      </c>
      <c r="Y179">
        <v>115.7</v>
      </c>
      <c r="Z179">
        <v>124</v>
      </c>
      <c r="AA179">
        <v>132.80000000000001</v>
      </c>
      <c r="AB179">
        <v>122.6</v>
      </c>
      <c r="AC179">
        <v>123.8</v>
      </c>
      <c r="AD179">
        <v>131.19999999999999</v>
      </c>
    </row>
    <row r="180" spans="1:30" x14ac:dyDescent="0.25">
      <c r="A180" t="s">
        <v>34</v>
      </c>
      <c r="B180">
        <v>2019</v>
      </c>
      <c r="C180" t="s">
        <v>42</v>
      </c>
      <c r="D180">
        <v>140.9</v>
      </c>
      <c r="E180">
        <v>160.80000000000001</v>
      </c>
      <c r="F180">
        <v>139.6</v>
      </c>
      <c r="G180">
        <v>145.4</v>
      </c>
      <c r="H180">
        <v>123.5</v>
      </c>
      <c r="I180">
        <v>146.6</v>
      </c>
      <c r="J180">
        <v>173.2</v>
      </c>
      <c r="K180">
        <v>131.6</v>
      </c>
      <c r="L180">
        <v>113.2</v>
      </c>
      <c r="M180">
        <v>144.1</v>
      </c>
      <c r="N180">
        <v>135</v>
      </c>
      <c r="O180">
        <v>156.80000000000001</v>
      </c>
      <c r="P180">
        <v>147</v>
      </c>
      <c r="Q180">
        <v>166.5</v>
      </c>
      <c r="R180">
        <v>149.19999999999999</v>
      </c>
      <c r="S180">
        <v>140.6</v>
      </c>
      <c r="T180">
        <v>147.9</v>
      </c>
      <c r="U180">
        <v>152.19999999999999</v>
      </c>
      <c r="V180">
        <v>139.19999999999999</v>
      </c>
      <c r="W180">
        <v>144.6</v>
      </c>
      <c r="X180">
        <v>149</v>
      </c>
      <c r="Y180">
        <v>126.1</v>
      </c>
      <c r="Z180">
        <v>141.30000000000001</v>
      </c>
      <c r="AA180">
        <v>155.19999999999999</v>
      </c>
      <c r="AB180">
        <v>139.69999999999999</v>
      </c>
      <c r="AC180">
        <v>140.69999999999999</v>
      </c>
      <c r="AD180">
        <v>145.80000000000001</v>
      </c>
    </row>
    <row r="181" spans="1:30" x14ac:dyDescent="0.25">
      <c r="A181" t="s">
        <v>34</v>
      </c>
      <c r="B181">
        <v>2016</v>
      </c>
      <c r="C181" t="s">
        <v>46</v>
      </c>
      <c r="D181">
        <v>132.30000000000001</v>
      </c>
      <c r="E181">
        <v>137.6</v>
      </c>
      <c r="F181">
        <v>132.9</v>
      </c>
      <c r="G181">
        <v>135.1</v>
      </c>
      <c r="H181">
        <v>118.6</v>
      </c>
      <c r="I181">
        <v>132.69999999999999</v>
      </c>
      <c r="J181">
        <v>125.3</v>
      </c>
      <c r="K181">
        <v>168.7</v>
      </c>
      <c r="L181">
        <v>114.4</v>
      </c>
      <c r="M181">
        <v>140.19999999999999</v>
      </c>
      <c r="N181">
        <v>126.6</v>
      </c>
      <c r="O181">
        <v>142.30000000000001</v>
      </c>
      <c r="P181">
        <v>134</v>
      </c>
      <c r="Q181">
        <v>143.1</v>
      </c>
      <c r="R181">
        <v>136.30000000000001</v>
      </c>
      <c r="S181">
        <v>129.80000000000001</v>
      </c>
      <c r="T181">
        <v>135.4</v>
      </c>
      <c r="U181">
        <v>128.5</v>
      </c>
      <c r="V181">
        <v>126.6</v>
      </c>
      <c r="W181">
        <v>129.19999999999999</v>
      </c>
      <c r="X181">
        <v>126.9</v>
      </c>
      <c r="Y181">
        <v>116</v>
      </c>
      <c r="Z181">
        <v>124.2</v>
      </c>
      <c r="AA181">
        <v>133.1</v>
      </c>
      <c r="AB181">
        <v>121.1</v>
      </c>
      <c r="AC181">
        <v>123.9</v>
      </c>
      <c r="AD181">
        <v>130.4</v>
      </c>
    </row>
    <row r="182" spans="1:30" x14ac:dyDescent="0.25">
      <c r="A182" t="s">
        <v>34</v>
      </c>
      <c r="B182">
        <v>2019</v>
      </c>
      <c r="C182" t="s">
        <v>43</v>
      </c>
      <c r="D182">
        <v>141.80000000000001</v>
      </c>
      <c r="E182">
        <v>161</v>
      </c>
      <c r="F182">
        <v>142.6</v>
      </c>
      <c r="G182">
        <v>146.19999999999999</v>
      </c>
      <c r="H182">
        <v>123.9</v>
      </c>
      <c r="I182">
        <v>148</v>
      </c>
      <c r="J182">
        <v>188.4</v>
      </c>
      <c r="K182">
        <v>132.5</v>
      </c>
      <c r="L182">
        <v>114</v>
      </c>
      <c r="M182">
        <v>145.4</v>
      </c>
      <c r="N182">
        <v>135.1</v>
      </c>
      <c r="O182">
        <v>157.1</v>
      </c>
      <c r="P182">
        <v>149.6</v>
      </c>
      <c r="Q182">
        <v>167.1</v>
      </c>
      <c r="R182">
        <v>149.4</v>
      </c>
      <c r="S182">
        <v>140.80000000000001</v>
      </c>
      <c r="T182">
        <v>148.19999999999999</v>
      </c>
      <c r="U182">
        <v>153</v>
      </c>
      <c r="V182">
        <v>140.6</v>
      </c>
      <c r="W182">
        <v>145</v>
      </c>
      <c r="X182">
        <v>149.4</v>
      </c>
      <c r="Y182">
        <v>126.3</v>
      </c>
      <c r="Z182">
        <v>141.69999999999999</v>
      </c>
      <c r="AA182">
        <v>155.4</v>
      </c>
      <c r="AB182">
        <v>140</v>
      </c>
      <c r="AC182">
        <v>141</v>
      </c>
      <c r="AD182">
        <v>147.19999999999999</v>
      </c>
    </row>
    <row r="183" spans="1:30" x14ac:dyDescent="0.25">
      <c r="A183" t="s">
        <v>34</v>
      </c>
      <c r="B183">
        <v>2017</v>
      </c>
      <c r="C183" t="s">
        <v>31</v>
      </c>
      <c r="D183">
        <v>132.80000000000001</v>
      </c>
      <c r="E183">
        <v>138.19999999999999</v>
      </c>
      <c r="F183">
        <v>132.19999999999999</v>
      </c>
      <c r="G183">
        <v>135.4</v>
      </c>
      <c r="H183">
        <v>119.1</v>
      </c>
      <c r="I183">
        <v>133</v>
      </c>
      <c r="J183">
        <v>119.4</v>
      </c>
      <c r="K183">
        <v>159.5</v>
      </c>
      <c r="L183">
        <v>115.6</v>
      </c>
      <c r="M183">
        <v>139.6</v>
      </c>
      <c r="N183">
        <v>126.6</v>
      </c>
      <c r="O183">
        <v>142.80000000000001</v>
      </c>
      <c r="P183">
        <v>133.1</v>
      </c>
      <c r="Q183">
        <v>143.80000000000001</v>
      </c>
      <c r="R183">
        <v>136.6</v>
      </c>
      <c r="S183">
        <v>130.19999999999999</v>
      </c>
      <c r="T183">
        <v>135.6</v>
      </c>
      <c r="U183">
        <v>129.6</v>
      </c>
      <c r="V183">
        <v>126.8</v>
      </c>
      <c r="W183">
        <v>129.4</v>
      </c>
      <c r="X183">
        <v>127.1</v>
      </c>
      <c r="Y183">
        <v>117</v>
      </c>
      <c r="Z183">
        <v>124.2</v>
      </c>
      <c r="AA183">
        <v>133.30000000000001</v>
      </c>
      <c r="AB183">
        <v>121.7</v>
      </c>
      <c r="AC183">
        <v>124.4</v>
      </c>
      <c r="AD183">
        <v>130.30000000000001</v>
      </c>
    </row>
    <row r="184" spans="1:30" x14ac:dyDescent="0.25">
      <c r="A184" t="s">
        <v>34</v>
      </c>
      <c r="B184">
        <v>2019</v>
      </c>
      <c r="C184" t="s">
        <v>45</v>
      </c>
      <c r="D184">
        <v>142.5</v>
      </c>
      <c r="E184">
        <v>163.19999999999999</v>
      </c>
      <c r="F184">
        <v>145.6</v>
      </c>
      <c r="G184">
        <v>146.69999999999999</v>
      </c>
      <c r="H184">
        <v>124.3</v>
      </c>
      <c r="I184">
        <v>147.4</v>
      </c>
      <c r="J184">
        <v>199.6</v>
      </c>
      <c r="K184">
        <v>135.69999999999999</v>
      </c>
      <c r="L184">
        <v>114.2</v>
      </c>
      <c r="M184">
        <v>147</v>
      </c>
      <c r="N184">
        <v>135.30000000000001</v>
      </c>
      <c r="O184">
        <v>157.5</v>
      </c>
      <c r="P184">
        <v>151.9</v>
      </c>
      <c r="Q184">
        <v>167.9</v>
      </c>
      <c r="R184">
        <v>149.9</v>
      </c>
      <c r="S184">
        <v>141</v>
      </c>
      <c r="T184">
        <v>148.6</v>
      </c>
      <c r="U184">
        <v>153.5</v>
      </c>
      <c r="V184">
        <v>142.30000000000001</v>
      </c>
      <c r="W184">
        <v>145.30000000000001</v>
      </c>
      <c r="X184">
        <v>149.9</v>
      </c>
      <c r="Y184">
        <v>126.6</v>
      </c>
      <c r="Z184">
        <v>142.1</v>
      </c>
      <c r="AA184">
        <v>155.5</v>
      </c>
      <c r="AB184">
        <v>140.30000000000001</v>
      </c>
      <c r="AC184">
        <v>141.30000000000001</v>
      </c>
      <c r="AD184">
        <v>148.6</v>
      </c>
    </row>
    <row r="185" spans="1:30" x14ac:dyDescent="0.25">
      <c r="A185" t="s">
        <v>34</v>
      </c>
      <c r="B185">
        <v>2017</v>
      </c>
      <c r="C185" t="s">
        <v>35</v>
      </c>
      <c r="D185">
        <v>133.1</v>
      </c>
      <c r="E185">
        <v>138.80000000000001</v>
      </c>
      <c r="F185">
        <v>129.30000000000001</v>
      </c>
      <c r="G185">
        <v>135.80000000000001</v>
      </c>
      <c r="H185">
        <v>119.2</v>
      </c>
      <c r="I185">
        <v>135.30000000000001</v>
      </c>
      <c r="J185">
        <v>119.5</v>
      </c>
      <c r="K185">
        <v>152.19999999999999</v>
      </c>
      <c r="L185">
        <v>117.3</v>
      </c>
      <c r="M185">
        <v>138.69999999999999</v>
      </c>
      <c r="N185">
        <v>126.9</v>
      </c>
      <c r="O185">
        <v>143.19999999999999</v>
      </c>
      <c r="P185">
        <v>133</v>
      </c>
      <c r="Q185">
        <v>144.4</v>
      </c>
      <c r="R185">
        <v>136.80000000000001</v>
      </c>
      <c r="S185">
        <v>130.30000000000001</v>
      </c>
      <c r="T185">
        <v>135.9</v>
      </c>
      <c r="U185">
        <v>130.5</v>
      </c>
      <c r="V185">
        <v>127.9</v>
      </c>
      <c r="W185">
        <v>129.69999999999999</v>
      </c>
      <c r="X185">
        <v>127.4</v>
      </c>
      <c r="Y185">
        <v>117.4</v>
      </c>
      <c r="Z185">
        <v>124.6</v>
      </c>
      <c r="AA185">
        <v>133.4</v>
      </c>
      <c r="AB185">
        <v>122.6</v>
      </c>
      <c r="AC185">
        <v>124.8</v>
      </c>
      <c r="AD185">
        <v>130.6</v>
      </c>
    </row>
    <row r="186" spans="1:30" x14ac:dyDescent="0.25">
      <c r="A186" t="s">
        <v>34</v>
      </c>
      <c r="B186">
        <v>2019</v>
      </c>
      <c r="C186" t="s">
        <v>46</v>
      </c>
      <c r="D186">
        <v>143.5</v>
      </c>
      <c r="E186">
        <v>165</v>
      </c>
      <c r="F186">
        <v>151.1</v>
      </c>
      <c r="G186">
        <v>148.30000000000001</v>
      </c>
      <c r="H186">
        <v>125.7</v>
      </c>
      <c r="I186">
        <v>145.69999999999999</v>
      </c>
      <c r="J186">
        <v>217</v>
      </c>
      <c r="K186">
        <v>138.30000000000001</v>
      </c>
      <c r="L186">
        <v>114</v>
      </c>
      <c r="M186">
        <v>148.69999999999999</v>
      </c>
      <c r="N186">
        <v>135.80000000000001</v>
      </c>
      <c r="O186">
        <v>158</v>
      </c>
      <c r="P186">
        <v>155</v>
      </c>
      <c r="Q186">
        <v>168.5</v>
      </c>
      <c r="R186">
        <v>150.30000000000001</v>
      </c>
      <c r="S186">
        <v>141.30000000000001</v>
      </c>
      <c r="T186">
        <v>149</v>
      </c>
      <c r="U186">
        <v>152.80000000000001</v>
      </c>
      <c r="V186">
        <v>143.69999999999999</v>
      </c>
      <c r="W186">
        <v>145.80000000000001</v>
      </c>
      <c r="X186">
        <v>150.4</v>
      </c>
      <c r="Y186">
        <v>129.80000000000001</v>
      </c>
      <c r="Z186">
        <v>142.30000000000001</v>
      </c>
      <c r="AA186">
        <v>155.69999999999999</v>
      </c>
      <c r="AB186">
        <v>140.4</v>
      </c>
      <c r="AC186">
        <v>142.5</v>
      </c>
      <c r="AD186">
        <v>150.4</v>
      </c>
    </row>
    <row r="187" spans="1:30" x14ac:dyDescent="0.25">
      <c r="A187" t="s">
        <v>34</v>
      </c>
      <c r="B187">
        <v>2017</v>
      </c>
      <c r="C187" t="s">
        <v>36</v>
      </c>
      <c r="D187">
        <v>133.30000000000001</v>
      </c>
      <c r="E187">
        <v>139</v>
      </c>
      <c r="F187">
        <v>128.6</v>
      </c>
      <c r="G187">
        <v>136.30000000000001</v>
      </c>
      <c r="H187">
        <v>118.8</v>
      </c>
      <c r="I187">
        <v>138.30000000000001</v>
      </c>
      <c r="J187">
        <v>120.5</v>
      </c>
      <c r="K187">
        <v>143.9</v>
      </c>
      <c r="L187">
        <v>118</v>
      </c>
      <c r="M187">
        <v>137.9</v>
      </c>
      <c r="N187">
        <v>127.2</v>
      </c>
      <c r="O187">
        <v>144</v>
      </c>
      <c r="P187">
        <v>133.1</v>
      </c>
      <c r="Q187">
        <v>145.1</v>
      </c>
      <c r="R187">
        <v>137.30000000000001</v>
      </c>
      <c r="S187">
        <v>130.6</v>
      </c>
      <c r="T187">
        <v>136.4</v>
      </c>
      <c r="U187">
        <v>131.1</v>
      </c>
      <c r="V187">
        <v>129.1</v>
      </c>
      <c r="W187">
        <v>130.1</v>
      </c>
      <c r="X187">
        <v>127.8</v>
      </c>
      <c r="Y187">
        <v>117.6</v>
      </c>
      <c r="Z187">
        <v>125</v>
      </c>
      <c r="AA187">
        <v>133.80000000000001</v>
      </c>
      <c r="AB187">
        <v>122.6</v>
      </c>
      <c r="AC187">
        <v>125.1</v>
      </c>
      <c r="AD187">
        <v>130.9</v>
      </c>
    </row>
    <row r="188" spans="1:30" x14ac:dyDescent="0.25">
      <c r="A188" t="s">
        <v>34</v>
      </c>
      <c r="B188">
        <v>2020</v>
      </c>
      <c r="C188" t="s">
        <v>31</v>
      </c>
      <c r="D188">
        <v>144.30000000000001</v>
      </c>
      <c r="E188">
        <v>167.4</v>
      </c>
      <c r="F188">
        <v>154.9</v>
      </c>
      <c r="G188">
        <v>150.1</v>
      </c>
      <c r="H188">
        <v>129.9</v>
      </c>
      <c r="I188">
        <v>143.19999999999999</v>
      </c>
      <c r="J188">
        <v>197</v>
      </c>
      <c r="K188">
        <v>140.4</v>
      </c>
      <c r="L188">
        <v>114.1</v>
      </c>
      <c r="M188">
        <v>150.9</v>
      </c>
      <c r="N188">
        <v>136.1</v>
      </c>
      <c r="O188">
        <v>158.6</v>
      </c>
      <c r="P188">
        <v>153.5</v>
      </c>
      <c r="Q188">
        <v>169.2</v>
      </c>
      <c r="R188">
        <v>150.5</v>
      </c>
      <c r="S188">
        <v>141.5</v>
      </c>
      <c r="T188">
        <v>149.19999999999999</v>
      </c>
      <c r="U188">
        <v>153.9</v>
      </c>
      <c r="V188">
        <v>144.6</v>
      </c>
      <c r="W188">
        <v>146.19999999999999</v>
      </c>
      <c r="X188">
        <v>151.19999999999999</v>
      </c>
      <c r="Y188">
        <v>130.9</v>
      </c>
      <c r="Z188">
        <v>142.80000000000001</v>
      </c>
      <c r="AA188">
        <v>156.1</v>
      </c>
      <c r="AB188">
        <v>142.30000000000001</v>
      </c>
      <c r="AC188">
        <v>143.4</v>
      </c>
      <c r="AD188">
        <v>150.19999999999999</v>
      </c>
    </row>
    <row r="189" spans="1:30" x14ac:dyDescent="0.25">
      <c r="A189" t="s">
        <v>34</v>
      </c>
      <c r="B189">
        <v>2017</v>
      </c>
      <c r="C189" t="s">
        <v>37</v>
      </c>
      <c r="D189">
        <v>133</v>
      </c>
      <c r="E189">
        <v>139.4</v>
      </c>
      <c r="F189">
        <v>126.1</v>
      </c>
      <c r="G189">
        <v>137.19999999999999</v>
      </c>
      <c r="H189">
        <v>118.4</v>
      </c>
      <c r="I189">
        <v>139.9</v>
      </c>
      <c r="J189">
        <v>123.4</v>
      </c>
      <c r="K189">
        <v>140.9</v>
      </c>
      <c r="L189">
        <v>118.5</v>
      </c>
      <c r="M189">
        <v>136.5</v>
      </c>
      <c r="N189">
        <v>127.4</v>
      </c>
      <c r="O189">
        <v>144.19999999999999</v>
      </c>
      <c r="P189">
        <v>133.5</v>
      </c>
      <c r="Q189">
        <v>145.4</v>
      </c>
      <c r="R189">
        <v>138</v>
      </c>
      <c r="S189">
        <v>131.1</v>
      </c>
      <c r="T189">
        <v>137</v>
      </c>
      <c r="U189">
        <v>131.69999999999999</v>
      </c>
      <c r="V189">
        <v>129.80000000000001</v>
      </c>
      <c r="W189">
        <v>130.4</v>
      </c>
      <c r="X189">
        <v>128.1</v>
      </c>
      <c r="Y189">
        <v>116.6</v>
      </c>
      <c r="Z189">
        <v>125.1</v>
      </c>
      <c r="AA189">
        <v>134.5</v>
      </c>
      <c r="AB189">
        <v>123.1</v>
      </c>
      <c r="AC189">
        <v>125.1</v>
      </c>
      <c r="AD189">
        <v>131.1</v>
      </c>
    </row>
    <row r="190" spans="1:30" x14ac:dyDescent="0.25">
      <c r="A190" t="s">
        <v>34</v>
      </c>
      <c r="B190">
        <v>2017</v>
      </c>
      <c r="C190" t="s">
        <v>38</v>
      </c>
      <c r="D190">
        <v>132.9</v>
      </c>
      <c r="E190">
        <v>141.6</v>
      </c>
      <c r="F190">
        <v>126.3</v>
      </c>
      <c r="G190">
        <v>137.69999999999999</v>
      </c>
      <c r="H190">
        <v>118.1</v>
      </c>
      <c r="I190">
        <v>137.9</v>
      </c>
      <c r="J190">
        <v>125.6</v>
      </c>
      <c r="K190">
        <v>138.30000000000001</v>
      </c>
      <c r="L190">
        <v>119.4</v>
      </c>
      <c r="M190">
        <v>136</v>
      </c>
      <c r="N190">
        <v>127.6</v>
      </c>
      <c r="O190">
        <v>144.5</v>
      </c>
      <c r="P190">
        <v>133.69999999999999</v>
      </c>
      <c r="Q190">
        <v>146.19999999999999</v>
      </c>
      <c r="R190">
        <v>138.19999999999999</v>
      </c>
      <c r="S190">
        <v>131.4</v>
      </c>
      <c r="T190">
        <v>137.19999999999999</v>
      </c>
      <c r="U190">
        <v>132.1</v>
      </c>
      <c r="V190">
        <v>129.4</v>
      </c>
      <c r="W190">
        <v>130.9</v>
      </c>
      <c r="X190">
        <v>128.4</v>
      </c>
      <c r="Y190">
        <v>116.7</v>
      </c>
      <c r="Z190">
        <v>125.7</v>
      </c>
      <c r="AA190">
        <v>134.80000000000001</v>
      </c>
      <c r="AB190">
        <v>123</v>
      </c>
      <c r="AC190">
        <v>125.3</v>
      </c>
      <c r="AD190">
        <v>131.4</v>
      </c>
    </row>
    <row r="191" spans="1:30" x14ac:dyDescent="0.25">
      <c r="A191" t="s">
        <v>34</v>
      </c>
      <c r="B191">
        <v>2017</v>
      </c>
      <c r="C191" t="s">
        <v>39</v>
      </c>
      <c r="D191">
        <v>133.30000000000001</v>
      </c>
      <c r="E191">
        <v>145.5</v>
      </c>
      <c r="F191">
        <v>128.1</v>
      </c>
      <c r="G191">
        <v>138.1</v>
      </c>
      <c r="H191">
        <v>118.2</v>
      </c>
      <c r="I191">
        <v>139.19999999999999</v>
      </c>
      <c r="J191">
        <v>133.30000000000001</v>
      </c>
      <c r="K191">
        <v>136.19999999999999</v>
      </c>
      <c r="L191">
        <v>119.6</v>
      </c>
      <c r="M191">
        <v>135.30000000000001</v>
      </c>
      <c r="N191">
        <v>127.8</v>
      </c>
      <c r="O191">
        <v>144.9</v>
      </c>
      <c r="P191">
        <v>135.19999999999999</v>
      </c>
      <c r="Q191">
        <v>146.5</v>
      </c>
      <c r="R191">
        <v>138.5</v>
      </c>
      <c r="S191">
        <v>131.69999999999999</v>
      </c>
      <c r="T191">
        <v>137.5</v>
      </c>
      <c r="U191">
        <v>131.4</v>
      </c>
      <c r="V191">
        <v>128.80000000000001</v>
      </c>
      <c r="W191">
        <v>131.19999999999999</v>
      </c>
      <c r="X191">
        <v>128.5</v>
      </c>
      <c r="Y191">
        <v>116.5</v>
      </c>
      <c r="Z191">
        <v>125.9</v>
      </c>
      <c r="AA191">
        <v>135.4</v>
      </c>
      <c r="AB191">
        <v>123.4</v>
      </c>
      <c r="AC191">
        <v>125.5</v>
      </c>
      <c r="AD191">
        <v>132</v>
      </c>
    </row>
    <row r="192" spans="1:30" x14ac:dyDescent="0.25">
      <c r="A192" t="s">
        <v>34</v>
      </c>
      <c r="B192">
        <v>2017</v>
      </c>
      <c r="C192" t="s">
        <v>40</v>
      </c>
      <c r="D192">
        <v>133.6</v>
      </c>
      <c r="E192">
        <v>145.69999999999999</v>
      </c>
      <c r="F192">
        <v>129.6</v>
      </c>
      <c r="G192">
        <v>138.5</v>
      </c>
      <c r="H192">
        <v>118.1</v>
      </c>
      <c r="I192">
        <v>141.80000000000001</v>
      </c>
      <c r="J192">
        <v>159.5</v>
      </c>
      <c r="K192">
        <v>133.6</v>
      </c>
      <c r="L192">
        <v>120.5</v>
      </c>
      <c r="M192">
        <v>135.19999999999999</v>
      </c>
      <c r="N192">
        <v>128.5</v>
      </c>
      <c r="O192">
        <v>145.80000000000001</v>
      </c>
      <c r="P192">
        <v>139</v>
      </c>
      <c r="Q192">
        <v>148.19999999999999</v>
      </c>
      <c r="R192">
        <v>139.30000000000001</v>
      </c>
      <c r="S192">
        <v>132.1</v>
      </c>
      <c r="T192">
        <v>138.30000000000001</v>
      </c>
      <c r="U192">
        <v>132.6</v>
      </c>
      <c r="V192">
        <v>129.4</v>
      </c>
      <c r="W192">
        <v>131.9</v>
      </c>
      <c r="X192">
        <v>129.4</v>
      </c>
      <c r="Y192">
        <v>116</v>
      </c>
      <c r="Z192">
        <v>126.6</v>
      </c>
      <c r="AA192">
        <v>136.80000000000001</v>
      </c>
      <c r="AB192">
        <v>123.6</v>
      </c>
      <c r="AC192">
        <v>125.9</v>
      </c>
      <c r="AD192">
        <v>134.19999999999999</v>
      </c>
    </row>
    <row r="193" spans="1:30" x14ac:dyDescent="0.25">
      <c r="A193" t="s">
        <v>34</v>
      </c>
      <c r="B193">
        <v>2017</v>
      </c>
      <c r="C193" t="s">
        <v>41</v>
      </c>
      <c r="D193">
        <v>134.30000000000001</v>
      </c>
      <c r="E193">
        <v>143.4</v>
      </c>
      <c r="F193">
        <v>129.30000000000001</v>
      </c>
      <c r="G193">
        <v>139</v>
      </c>
      <c r="H193">
        <v>118.1</v>
      </c>
      <c r="I193">
        <v>145.5</v>
      </c>
      <c r="J193">
        <v>168.6</v>
      </c>
      <c r="K193">
        <v>132.69999999999999</v>
      </c>
      <c r="L193">
        <v>121.2</v>
      </c>
      <c r="M193">
        <v>135.6</v>
      </c>
      <c r="N193">
        <v>128.69999999999999</v>
      </c>
      <c r="O193">
        <v>146.80000000000001</v>
      </c>
      <c r="P193">
        <v>140.6</v>
      </c>
      <c r="Q193">
        <v>149.80000000000001</v>
      </c>
      <c r="R193">
        <v>140.30000000000001</v>
      </c>
      <c r="S193">
        <v>133</v>
      </c>
      <c r="T193">
        <v>139.30000000000001</v>
      </c>
      <c r="U193">
        <v>134.4</v>
      </c>
      <c r="V193">
        <v>129.80000000000001</v>
      </c>
      <c r="W193">
        <v>132.80000000000001</v>
      </c>
      <c r="X193">
        <v>130.19999999999999</v>
      </c>
      <c r="Y193">
        <v>117.3</v>
      </c>
      <c r="Z193">
        <v>127.3</v>
      </c>
      <c r="AA193">
        <v>137.6</v>
      </c>
      <c r="AB193">
        <v>124.5</v>
      </c>
      <c r="AC193">
        <v>126.8</v>
      </c>
      <c r="AD193">
        <v>135.4</v>
      </c>
    </row>
    <row r="194" spans="1:30" x14ac:dyDescent="0.25">
      <c r="A194" t="s">
        <v>34</v>
      </c>
      <c r="B194">
        <v>2017</v>
      </c>
      <c r="C194" t="s">
        <v>42</v>
      </c>
      <c r="D194">
        <v>134.69999999999999</v>
      </c>
      <c r="E194">
        <v>142.4</v>
      </c>
      <c r="F194">
        <v>130.19999999999999</v>
      </c>
      <c r="G194">
        <v>139.6</v>
      </c>
      <c r="H194">
        <v>118.4</v>
      </c>
      <c r="I194">
        <v>143</v>
      </c>
      <c r="J194">
        <v>156.6</v>
      </c>
      <c r="K194">
        <v>132.9</v>
      </c>
      <c r="L194">
        <v>121.5</v>
      </c>
      <c r="M194">
        <v>135.6</v>
      </c>
      <c r="N194">
        <v>128.80000000000001</v>
      </c>
      <c r="O194">
        <v>147.30000000000001</v>
      </c>
      <c r="P194">
        <v>139</v>
      </c>
      <c r="Q194">
        <v>150.80000000000001</v>
      </c>
      <c r="R194">
        <v>141.1</v>
      </c>
      <c r="S194">
        <v>133.4</v>
      </c>
      <c r="T194">
        <v>140</v>
      </c>
      <c r="U194">
        <v>135.69999999999999</v>
      </c>
      <c r="V194">
        <v>131</v>
      </c>
      <c r="W194">
        <v>133.30000000000001</v>
      </c>
      <c r="X194">
        <v>130.6</v>
      </c>
      <c r="Y194">
        <v>118.3</v>
      </c>
      <c r="Z194">
        <v>127.9</v>
      </c>
      <c r="AA194">
        <v>137.4</v>
      </c>
      <c r="AB194">
        <v>125.7</v>
      </c>
      <c r="AC194">
        <v>127.5</v>
      </c>
      <c r="AD194">
        <v>135.19999999999999</v>
      </c>
    </row>
    <row r="195" spans="1:30" x14ac:dyDescent="0.25">
      <c r="A195" t="s">
        <v>34</v>
      </c>
      <c r="B195">
        <v>2017</v>
      </c>
      <c r="C195" t="s">
        <v>43</v>
      </c>
      <c r="D195">
        <v>135.30000000000001</v>
      </c>
      <c r="E195">
        <v>142.19999999999999</v>
      </c>
      <c r="F195">
        <v>131.19999999999999</v>
      </c>
      <c r="G195">
        <v>140.6</v>
      </c>
      <c r="H195">
        <v>119</v>
      </c>
      <c r="I195">
        <v>141.5</v>
      </c>
      <c r="J195">
        <v>162.6</v>
      </c>
      <c r="K195">
        <v>132.30000000000001</v>
      </c>
      <c r="L195">
        <v>121.8</v>
      </c>
      <c r="M195">
        <v>136.30000000000001</v>
      </c>
      <c r="N195">
        <v>128.69999999999999</v>
      </c>
      <c r="O195">
        <v>148.1</v>
      </c>
      <c r="P195">
        <v>140.1</v>
      </c>
      <c r="Q195">
        <v>151.6</v>
      </c>
      <c r="R195">
        <v>142</v>
      </c>
      <c r="S195">
        <v>134.1</v>
      </c>
      <c r="T195">
        <v>140.80000000000001</v>
      </c>
      <c r="U195">
        <v>137.30000000000001</v>
      </c>
      <c r="V195">
        <v>132.19999999999999</v>
      </c>
      <c r="W195">
        <v>133.6</v>
      </c>
      <c r="X195">
        <v>131.30000000000001</v>
      </c>
      <c r="Y195">
        <v>117.8</v>
      </c>
      <c r="Z195">
        <v>128.4</v>
      </c>
      <c r="AA195">
        <v>137.9</v>
      </c>
      <c r="AB195">
        <v>126.2</v>
      </c>
      <c r="AC195">
        <v>127.7</v>
      </c>
      <c r="AD195">
        <v>136.1</v>
      </c>
    </row>
    <row r="196" spans="1:30" x14ac:dyDescent="0.25">
      <c r="A196" t="s">
        <v>34</v>
      </c>
      <c r="B196">
        <v>2017</v>
      </c>
      <c r="C196" t="s">
        <v>45</v>
      </c>
      <c r="D196">
        <v>135.69999999999999</v>
      </c>
      <c r="E196">
        <v>142.4</v>
      </c>
      <c r="F196">
        <v>142.9</v>
      </c>
      <c r="G196">
        <v>140.80000000000001</v>
      </c>
      <c r="H196">
        <v>119.2</v>
      </c>
      <c r="I196">
        <v>142.19999999999999</v>
      </c>
      <c r="J196">
        <v>173.8</v>
      </c>
      <c r="K196">
        <v>131.19999999999999</v>
      </c>
      <c r="L196">
        <v>123</v>
      </c>
      <c r="M196">
        <v>136.80000000000001</v>
      </c>
      <c r="N196">
        <v>129.19999999999999</v>
      </c>
      <c r="O196">
        <v>148.9</v>
      </c>
      <c r="P196">
        <v>142.1</v>
      </c>
      <c r="Q196">
        <v>153.19999999999999</v>
      </c>
      <c r="R196">
        <v>143</v>
      </c>
      <c r="S196">
        <v>134.80000000000001</v>
      </c>
      <c r="T196">
        <v>141.80000000000001</v>
      </c>
      <c r="U196">
        <v>138.6</v>
      </c>
      <c r="V196">
        <v>135.30000000000001</v>
      </c>
      <c r="W196">
        <v>134.4</v>
      </c>
      <c r="X196">
        <v>132.6</v>
      </c>
      <c r="Y196">
        <v>118.3</v>
      </c>
      <c r="Z196">
        <v>128.9</v>
      </c>
      <c r="AA196">
        <v>138.6</v>
      </c>
      <c r="AB196">
        <v>126.8</v>
      </c>
      <c r="AC196">
        <v>128.4</v>
      </c>
      <c r="AD196">
        <v>137.6</v>
      </c>
    </row>
    <row r="197" spans="1:30" x14ac:dyDescent="0.25">
      <c r="A197" t="s">
        <v>34</v>
      </c>
      <c r="B197">
        <v>2017</v>
      </c>
      <c r="C197" t="s">
        <v>46</v>
      </c>
      <c r="D197">
        <v>135.80000000000001</v>
      </c>
      <c r="E197">
        <v>143.30000000000001</v>
      </c>
      <c r="F197">
        <v>145.19999999999999</v>
      </c>
      <c r="G197">
        <v>141</v>
      </c>
      <c r="H197">
        <v>120.5</v>
      </c>
      <c r="I197">
        <v>141.5</v>
      </c>
      <c r="J197">
        <v>161.69999999999999</v>
      </c>
      <c r="K197">
        <v>129.1</v>
      </c>
      <c r="L197">
        <v>121.5</v>
      </c>
      <c r="M197">
        <v>137.1</v>
      </c>
      <c r="N197">
        <v>128.80000000000001</v>
      </c>
      <c r="O197">
        <v>149</v>
      </c>
      <c r="P197">
        <v>140.5</v>
      </c>
      <c r="Q197">
        <v>154.19999999999999</v>
      </c>
      <c r="R197">
        <v>143.1</v>
      </c>
      <c r="S197">
        <v>135.1</v>
      </c>
      <c r="T197">
        <v>142</v>
      </c>
      <c r="U197">
        <v>139.1</v>
      </c>
      <c r="V197">
        <v>136.6</v>
      </c>
      <c r="W197">
        <v>134.69999999999999</v>
      </c>
      <c r="X197">
        <v>133.1</v>
      </c>
      <c r="Y197">
        <v>118.5</v>
      </c>
      <c r="Z197">
        <v>129</v>
      </c>
      <c r="AA197">
        <v>138.5</v>
      </c>
      <c r="AB197">
        <v>126.5</v>
      </c>
      <c r="AC197">
        <v>128.6</v>
      </c>
      <c r="AD197">
        <v>137.19999999999999</v>
      </c>
    </row>
    <row r="198" spans="1:30" x14ac:dyDescent="0.25">
      <c r="A198" t="s">
        <v>34</v>
      </c>
      <c r="B198">
        <v>2018</v>
      </c>
      <c r="C198" t="s">
        <v>31</v>
      </c>
      <c r="D198">
        <v>136</v>
      </c>
      <c r="E198">
        <v>144.19999999999999</v>
      </c>
      <c r="F198">
        <v>143.69999999999999</v>
      </c>
      <c r="G198">
        <v>141.1</v>
      </c>
      <c r="H198">
        <v>120.7</v>
      </c>
      <c r="I198">
        <v>141.30000000000001</v>
      </c>
      <c r="J198">
        <v>151.6</v>
      </c>
      <c r="K198">
        <v>127.3</v>
      </c>
      <c r="L198">
        <v>118.8</v>
      </c>
      <c r="M198">
        <v>137.5</v>
      </c>
      <c r="N198">
        <v>129</v>
      </c>
      <c r="O198">
        <v>149.5</v>
      </c>
      <c r="P198">
        <v>139.19999999999999</v>
      </c>
      <c r="Q198">
        <v>154.69999999999999</v>
      </c>
      <c r="R198">
        <v>143.5</v>
      </c>
      <c r="S198">
        <v>135.5</v>
      </c>
      <c r="T198">
        <v>142.30000000000001</v>
      </c>
      <c r="U198">
        <v>140.4</v>
      </c>
      <c r="V198">
        <v>136.6</v>
      </c>
      <c r="W198">
        <v>134.9</v>
      </c>
      <c r="X198">
        <v>133.30000000000001</v>
      </c>
      <c r="Y198">
        <v>119.3</v>
      </c>
      <c r="Z198">
        <v>129.69999999999999</v>
      </c>
      <c r="AA198">
        <v>139</v>
      </c>
      <c r="AB198">
        <v>127.3</v>
      </c>
      <c r="AC198">
        <v>129.1</v>
      </c>
      <c r="AD198">
        <v>136.9</v>
      </c>
    </row>
    <row r="199" spans="1:30" x14ac:dyDescent="0.25">
      <c r="A199" t="s">
        <v>34</v>
      </c>
      <c r="B199">
        <v>2018</v>
      </c>
      <c r="C199" t="s">
        <v>35</v>
      </c>
      <c r="D199">
        <v>135.9</v>
      </c>
      <c r="E199">
        <v>143.5</v>
      </c>
      <c r="F199">
        <v>140.30000000000001</v>
      </c>
      <c r="G199">
        <v>140.9</v>
      </c>
      <c r="H199">
        <v>120.4</v>
      </c>
      <c r="I199">
        <v>142.9</v>
      </c>
      <c r="J199">
        <v>140.5</v>
      </c>
      <c r="K199">
        <v>125.8</v>
      </c>
      <c r="L199">
        <v>117.1</v>
      </c>
      <c r="M199">
        <v>137.30000000000001</v>
      </c>
      <c r="N199">
        <v>128.6</v>
      </c>
      <c r="O199">
        <v>149.6</v>
      </c>
      <c r="P199">
        <v>137.6</v>
      </c>
      <c r="Q199">
        <v>154.9</v>
      </c>
      <c r="R199">
        <v>143.80000000000001</v>
      </c>
      <c r="S199">
        <v>135.6</v>
      </c>
      <c r="T199">
        <v>142.6</v>
      </c>
      <c r="U199">
        <v>141.30000000000001</v>
      </c>
      <c r="V199">
        <v>136.69999999999999</v>
      </c>
      <c r="W199">
        <v>135.19999999999999</v>
      </c>
      <c r="X199">
        <v>133.80000000000001</v>
      </c>
      <c r="Y199">
        <v>120.2</v>
      </c>
      <c r="Z199">
        <v>129.9</v>
      </c>
      <c r="AA199">
        <v>139</v>
      </c>
      <c r="AB199">
        <v>127.7</v>
      </c>
      <c r="AC199">
        <v>129.6</v>
      </c>
      <c r="AD199">
        <v>136.4</v>
      </c>
    </row>
    <row r="200" spans="1:30" x14ac:dyDescent="0.25">
      <c r="A200" t="s">
        <v>34</v>
      </c>
      <c r="B200">
        <v>2018</v>
      </c>
      <c r="C200" t="s">
        <v>36</v>
      </c>
      <c r="D200">
        <v>136.19999999999999</v>
      </c>
      <c r="E200">
        <v>143.6</v>
      </c>
      <c r="F200">
        <v>138.30000000000001</v>
      </c>
      <c r="G200">
        <v>141.19999999999999</v>
      </c>
      <c r="H200">
        <v>120.7</v>
      </c>
      <c r="I200">
        <v>146.19999999999999</v>
      </c>
      <c r="J200">
        <v>134.6</v>
      </c>
      <c r="K200">
        <v>124.6</v>
      </c>
      <c r="L200">
        <v>116.1</v>
      </c>
      <c r="M200">
        <v>137.80000000000001</v>
      </c>
      <c r="N200">
        <v>129.1</v>
      </c>
      <c r="O200">
        <v>150.4</v>
      </c>
      <c r="P200">
        <v>137.19999999999999</v>
      </c>
      <c r="Q200">
        <v>156.30000000000001</v>
      </c>
      <c r="R200">
        <v>144.30000000000001</v>
      </c>
      <c r="S200">
        <v>136.19999999999999</v>
      </c>
      <c r="T200">
        <v>143.1</v>
      </c>
      <c r="U200">
        <v>142</v>
      </c>
      <c r="V200">
        <v>136.5</v>
      </c>
      <c r="W200">
        <v>135.6</v>
      </c>
      <c r="X200">
        <v>134.30000000000001</v>
      </c>
      <c r="Y200">
        <v>121</v>
      </c>
      <c r="Z200">
        <v>130.4</v>
      </c>
      <c r="AA200">
        <v>139.80000000000001</v>
      </c>
      <c r="AB200">
        <v>128.19999999999999</v>
      </c>
      <c r="AC200">
        <v>130.30000000000001</v>
      </c>
      <c r="AD200">
        <v>136.5</v>
      </c>
    </row>
    <row r="201" spans="1:30" x14ac:dyDescent="0.25">
      <c r="A201" t="s">
        <v>34</v>
      </c>
      <c r="B201">
        <v>2018</v>
      </c>
      <c r="C201" t="s">
        <v>37</v>
      </c>
      <c r="D201">
        <v>136.4</v>
      </c>
      <c r="E201">
        <v>144.4</v>
      </c>
      <c r="F201">
        <v>133.9</v>
      </c>
      <c r="G201">
        <v>141.6</v>
      </c>
      <c r="H201">
        <v>121</v>
      </c>
      <c r="I201">
        <v>153.5</v>
      </c>
      <c r="J201">
        <v>132.6</v>
      </c>
      <c r="K201">
        <v>123.5</v>
      </c>
      <c r="L201">
        <v>113.7</v>
      </c>
      <c r="M201">
        <v>138.19999999999999</v>
      </c>
      <c r="N201">
        <v>129.6</v>
      </c>
      <c r="O201">
        <v>151.19999999999999</v>
      </c>
      <c r="P201">
        <v>137.5</v>
      </c>
      <c r="Q201">
        <v>156.9</v>
      </c>
      <c r="R201">
        <v>145.30000000000001</v>
      </c>
      <c r="S201">
        <v>136.69999999999999</v>
      </c>
      <c r="T201">
        <v>144</v>
      </c>
      <c r="U201">
        <v>142.9</v>
      </c>
      <c r="V201">
        <v>136.5</v>
      </c>
      <c r="W201">
        <v>136.6</v>
      </c>
      <c r="X201">
        <v>135.19999999999999</v>
      </c>
      <c r="Y201">
        <v>121.9</v>
      </c>
      <c r="Z201">
        <v>131.30000000000001</v>
      </c>
      <c r="AA201">
        <v>141.4</v>
      </c>
      <c r="AB201">
        <v>129.19999999999999</v>
      </c>
      <c r="AC201">
        <v>131.30000000000001</v>
      </c>
      <c r="AD201">
        <v>137.1</v>
      </c>
    </row>
    <row r="202" spans="1:30" x14ac:dyDescent="0.25">
      <c r="A202" t="s">
        <v>34</v>
      </c>
      <c r="B202">
        <v>2018</v>
      </c>
      <c r="C202" t="s">
        <v>38</v>
      </c>
      <c r="D202">
        <v>136.6</v>
      </c>
      <c r="E202">
        <v>146.6</v>
      </c>
      <c r="F202">
        <v>133.6</v>
      </c>
      <c r="G202">
        <v>142.1</v>
      </c>
      <c r="H202">
        <v>121</v>
      </c>
      <c r="I202">
        <v>154.6</v>
      </c>
      <c r="J202">
        <v>135.6</v>
      </c>
      <c r="K202">
        <v>122.3</v>
      </c>
      <c r="L202">
        <v>109.6</v>
      </c>
      <c r="M202">
        <v>138.1</v>
      </c>
      <c r="N202">
        <v>129.9</v>
      </c>
      <c r="O202">
        <v>151.69999999999999</v>
      </c>
      <c r="P202">
        <v>138.1</v>
      </c>
      <c r="Q202">
        <v>157.9</v>
      </c>
      <c r="R202">
        <v>146</v>
      </c>
      <c r="S202">
        <v>137.4</v>
      </c>
      <c r="T202">
        <v>144.69999999999999</v>
      </c>
      <c r="U202">
        <v>143.19999999999999</v>
      </c>
      <c r="V202">
        <v>136.9</v>
      </c>
      <c r="W202">
        <v>137.4</v>
      </c>
      <c r="X202">
        <v>136</v>
      </c>
      <c r="Y202">
        <v>122.9</v>
      </c>
      <c r="Z202">
        <v>131.80000000000001</v>
      </c>
      <c r="AA202">
        <v>142.1</v>
      </c>
      <c r="AB202">
        <v>129.9</v>
      </c>
      <c r="AC202">
        <v>132.1</v>
      </c>
      <c r="AD202">
        <v>137.80000000000001</v>
      </c>
    </row>
    <row r="203" spans="1:30" x14ac:dyDescent="0.25">
      <c r="A203" t="s">
        <v>34</v>
      </c>
      <c r="B203">
        <v>2018</v>
      </c>
      <c r="C203" t="s">
        <v>39</v>
      </c>
      <c r="D203">
        <v>136.9</v>
      </c>
      <c r="E203">
        <v>148.69999999999999</v>
      </c>
      <c r="F203">
        <v>135.6</v>
      </c>
      <c r="G203">
        <v>142.30000000000001</v>
      </c>
      <c r="H203">
        <v>121.3</v>
      </c>
      <c r="I203">
        <v>153.19999999999999</v>
      </c>
      <c r="J203">
        <v>143.69999999999999</v>
      </c>
      <c r="K203">
        <v>121.4</v>
      </c>
      <c r="L203">
        <v>111.1</v>
      </c>
      <c r="M203">
        <v>138.4</v>
      </c>
      <c r="N203">
        <v>130.30000000000001</v>
      </c>
      <c r="O203">
        <v>151.80000000000001</v>
      </c>
      <c r="P203">
        <v>139.4</v>
      </c>
      <c r="Q203">
        <v>158.30000000000001</v>
      </c>
      <c r="R203">
        <v>146.4</v>
      </c>
      <c r="S203">
        <v>138.1</v>
      </c>
      <c r="T203">
        <v>145.19999999999999</v>
      </c>
      <c r="U203">
        <v>142.5</v>
      </c>
      <c r="V203">
        <v>138.1</v>
      </c>
      <c r="W203">
        <v>137.9</v>
      </c>
      <c r="X203">
        <v>136.19999999999999</v>
      </c>
      <c r="Y203">
        <v>123.7</v>
      </c>
      <c r="Z203">
        <v>132.6</v>
      </c>
      <c r="AA203">
        <v>142.80000000000001</v>
      </c>
      <c r="AB203">
        <v>130.1</v>
      </c>
      <c r="AC203">
        <v>132.6</v>
      </c>
      <c r="AD203">
        <v>138.5</v>
      </c>
    </row>
    <row r="204" spans="1:30" x14ac:dyDescent="0.25">
      <c r="A204" t="s">
        <v>34</v>
      </c>
      <c r="B204">
        <v>2018</v>
      </c>
      <c r="C204" t="s">
        <v>40</v>
      </c>
      <c r="D204">
        <v>137.5</v>
      </c>
      <c r="E204">
        <v>149.1</v>
      </c>
      <c r="F204">
        <v>139.19999999999999</v>
      </c>
      <c r="G204">
        <v>142.5</v>
      </c>
      <c r="H204">
        <v>121.4</v>
      </c>
      <c r="I204">
        <v>151.6</v>
      </c>
      <c r="J204">
        <v>155.9</v>
      </c>
      <c r="K204">
        <v>121.7</v>
      </c>
      <c r="L204">
        <v>113.5</v>
      </c>
      <c r="M204">
        <v>138.9</v>
      </c>
      <c r="N204">
        <v>130.30000000000001</v>
      </c>
      <c r="O204">
        <v>152.30000000000001</v>
      </c>
      <c r="P204">
        <v>141.4</v>
      </c>
      <c r="Q204">
        <v>157.5</v>
      </c>
      <c r="R204">
        <v>146.80000000000001</v>
      </c>
      <c r="S204">
        <v>138.4</v>
      </c>
      <c r="T204">
        <v>145.6</v>
      </c>
      <c r="U204">
        <v>143.6</v>
      </c>
      <c r="V204">
        <v>139.69999999999999</v>
      </c>
      <c r="W204">
        <v>138.6</v>
      </c>
      <c r="X204">
        <v>137</v>
      </c>
      <c r="Y204">
        <v>123.6</v>
      </c>
      <c r="Z204">
        <v>133.1</v>
      </c>
      <c r="AA204">
        <v>144.69999999999999</v>
      </c>
      <c r="AB204">
        <v>130.1</v>
      </c>
      <c r="AC204">
        <v>133.19999999999999</v>
      </c>
      <c r="AD204">
        <v>139.80000000000001</v>
      </c>
    </row>
    <row r="205" spans="1:30" x14ac:dyDescent="0.25">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25">
      <c r="A206" t="s">
        <v>34</v>
      </c>
      <c r="B206">
        <v>2018</v>
      </c>
      <c r="C206" t="s">
        <v>42</v>
      </c>
      <c r="D206">
        <v>138.6</v>
      </c>
      <c r="E206">
        <v>145.80000000000001</v>
      </c>
      <c r="F206">
        <v>135.1</v>
      </c>
      <c r="G206">
        <v>142.9</v>
      </c>
      <c r="H206">
        <v>122.1</v>
      </c>
      <c r="I206">
        <v>145.4</v>
      </c>
      <c r="J206">
        <v>150</v>
      </c>
      <c r="K206">
        <v>121.4</v>
      </c>
      <c r="L206">
        <v>113.7</v>
      </c>
      <c r="M206">
        <v>139.5</v>
      </c>
      <c r="N206">
        <v>130.80000000000001</v>
      </c>
      <c r="O206">
        <v>153.80000000000001</v>
      </c>
      <c r="P206">
        <v>140.4</v>
      </c>
      <c r="Q206">
        <v>159.19999999999999</v>
      </c>
      <c r="R206">
        <v>147.69999999999999</v>
      </c>
      <c r="S206">
        <v>139.1</v>
      </c>
      <c r="T206">
        <v>146.5</v>
      </c>
      <c r="U206">
        <v>145.30000000000001</v>
      </c>
      <c r="V206">
        <v>142.30000000000001</v>
      </c>
      <c r="W206">
        <v>139.69999999999999</v>
      </c>
      <c r="X206">
        <v>138.4</v>
      </c>
      <c r="Y206">
        <v>126</v>
      </c>
      <c r="Z206">
        <v>134.5</v>
      </c>
      <c r="AA206">
        <v>146.19999999999999</v>
      </c>
      <c r="AB206">
        <v>130.9</v>
      </c>
      <c r="AC206">
        <v>134.69999999999999</v>
      </c>
      <c r="AD206">
        <v>140.19999999999999</v>
      </c>
    </row>
    <row r="207" spans="1:30" x14ac:dyDescent="0.25">
      <c r="A207" t="s">
        <v>34</v>
      </c>
      <c r="B207">
        <v>2018</v>
      </c>
      <c r="C207" t="s">
        <v>43</v>
      </c>
      <c r="D207">
        <v>137.4</v>
      </c>
      <c r="E207">
        <v>149.5</v>
      </c>
      <c r="F207">
        <v>137.30000000000001</v>
      </c>
      <c r="G207">
        <v>141.9</v>
      </c>
      <c r="H207">
        <v>121.1</v>
      </c>
      <c r="I207">
        <v>142.5</v>
      </c>
      <c r="J207">
        <v>146.69999999999999</v>
      </c>
      <c r="K207">
        <v>119.1</v>
      </c>
      <c r="L207">
        <v>111.9</v>
      </c>
      <c r="M207">
        <v>141</v>
      </c>
      <c r="N207">
        <v>133.6</v>
      </c>
      <c r="O207">
        <v>154.5</v>
      </c>
      <c r="P207">
        <v>139.69999999999999</v>
      </c>
      <c r="Q207">
        <v>162.6</v>
      </c>
      <c r="R207">
        <v>148</v>
      </c>
      <c r="S207">
        <v>139.19999999999999</v>
      </c>
      <c r="T207">
        <v>146.80000000000001</v>
      </c>
      <c r="U207">
        <v>146.9</v>
      </c>
      <c r="V207">
        <v>145.30000000000001</v>
      </c>
      <c r="W207">
        <v>142.19999999999999</v>
      </c>
      <c r="X207">
        <v>142.1</v>
      </c>
      <c r="Y207">
        <v>125.5</v>
      </c>
      <c r="Z207">
        <v>136.5</v>
      </c>
      <c r="AA207">
        <v>147.80000000000001</v>
      </c>
      <c r="AB207">
        <v>132</v>
      </c>
      <c r="AC207">
        <v>136.30000000000001</v>
      </c>
      <c r="AD207">
        <v>140.80000000000001</v>
      </c>
    </row>
    <row r="208" spans="1:30" x14ac:dyDescent="0.25">
      <c r="A208" t="s">
        <v>34</v>
      </c>
      <c r="B208">
        <v>2018</v>
      </c>
      <c r="C208" t="s">
        <v>45</v>
      </c>
      <c r="D208">
        <v>137.4</v>
      </c>
      <c r="E208">
        <v>149.19999999999999</v>
      </c>
      <c r="F208">
        <v>137.1</v>
      </c>
      <c r="G208">
        <v>141.80000000000001</v>
      </c>
      <c r="H208">
        <v>121.1</v>
      </c>
      <c r="I208">
        <v>142.80000000000001</v>
      </c>
      <c r="J208">
        <v>146.69999999999999</v>
      </c>
      <c r="K208">
        <v>119.1</v>
      </c>
      <c r="L208">
        <v>111.9</v>
      </c>
      <c r="M208">
        <v>140.9</v>
      </c>
      <c r="N208">
        <v>133.5</v>
      </c>
      <c r="O208">
        <v>154.5</v>
      </c>
      <c r="P208">
        <v>139.69999999999999</v>
      </c>
      <c r="Q208">
        <v>162.6</v>
      </c>
      <c r="R208">
        <v>148</v>
      </c>
      <c r="S208">
        <v>139.1</v>
      </c>
      <c r="T208">
        <v>146.69999999999999</v>
      </c>
      <c r="U208">
        <v>146.9</v>
      </c>
      <c r="V208">
        <v>145.1</v>
      </c>
      <c r="W208">
        <v>142.19999999999999</v>
      </c>
      <c r="X208">
        <v>142.1</v>
      </c>
      <c r="Y208">
        <v>125.5</v>
      </c>
      <c r="Z208">
        <v>136.5</v>
      </c>
      <c r="AA208">
        <v>147.80000000000001</v>
      </c>
      <c r="AB208">
        <v>132</v>
      </c>
      <c r="AC208">
        <v>136.30000000000001</v>
      </c>
      <c r="AD208">
        <v>140.80000000000001</v>
      </c>
    </row>
    <row r="209" spans="1:30" x14ac:dyDescent="0.25">
      <c r="A209" t="s">
        <v>34</v>
      </c>
      <c r="B209">
        <v>2018</v>
      </c>
      <c r="C209" t="s">
        <v>46</v>
      </c>
      <c r="D209">
        <v>137.5</v>
      </c>
      <c r="E209">
        <v>150.5</v>
      </c>
      <c r="F209">
        <v>138.80000000000001</v>
      </c>
      <c r="G209">
        <v>142.1</v>
      </c>
      <c r="H209">
        <v>122</v>
      </c>
      <c r="I209">
        <v>139.4</v>
      </c>
      <c r="J209">
        <v>135.19999999999999</v>
      </c>
      <c r="K209">
        <v>119.8</v>
      </c>
      <c r="L209">
        <v>110.3</v>
      </c>
      <c r="M209">
        <v>140.6</v>
      </c>
      <c r="N209">
        <v>133.80000000000001</v>
      </c>
      <c r="O209">
        <v>154.6</v>
      </c>
      <c r="P209">
        <v>138.19999999999999</v>
      </c>
      <c r="Q209">
        <v>163</v>
      </c>
      <c r="R209">
        <v>148.1</v>
      </c>
      <c r="S209">
        <v>139.4</v>
      </c>
      <c r="T209">
        <v>146.80000000000001</v>
      </c>
      <c r="U209">
        <v>146.5</v>
      </c>
      <c r="V209">
        <v>142.69999999999999</v>
      </c>
      <c r="W209">
        <v>143.19999999999999</v>
      </c>
      <c r="X209">
        <v>144.9</v>
      </c>
      <c r="Y209">
        <v>123.6</v>
      </c>
      <c r="Z209">
        <v>136.80000000000001</v>
      </c>
      <c r="AA209">
        <v>150.1</v>
      </c>
      <c r="AB209">
        <v>132.19999999999999</v>
      </c>
      <c r="AC209">
        <v>136.80000000000001</v>
      </c>
      <c r="AD209">
        <v>140.1</v>
      </c>
    </row>
    <row r="210" spans="1:30" x14ac:dyDescent="0.25">
      <c r="A210" t="s">
        <v>34</v>
      </c>
      <c r="B210">
        <v>2020</v>
      </c>
      <c r="C210" t="s">
        <v>35</v>
      </c>
      <c r="D210">
        <v>144.80000000000001</v>
      </c>
      <c r="E210">
        <v>167.5</v>
      </c>
      <c r="F210">
        <v>151.80000000000001</v>
      </c>
      <c r="G210">
        <v>150.80000000000001</v>
      </c>
      <c r="H210">
        <v>131.4</v>
      </c>
      <c r="I210">
        <v>141.80000000000001</v>
      </c>
      <c r="J210">
        <v>170.7</v>
      </c>
      <c r="K210">
        <v>141.1</v>
      </c>
      <c r="L210">
        <v>113.6</v>
      </c>
      <c r="M210">
        <v>152</v>
      </c>
      <c r="N210">
        <v>136.5</v>
      </c>
      <c r="O210">
        <v>159.1</v>
      </c>
      <c r="P210">
        <v>150.5</v>
      </c>
      <c r="Q210">
        <v>170.1</v>
      </c>
      <c r="R210">
        <v>150.80000000000001</v>
      </c>
      <c r="S210">
        <v>141.69999999999999</v>
      </c>
      <c r="T210">
        <v>149.5</v>
      </c>
      <c r="U210">
        <v>154.80000000000001</v>
      </c>
      <c r="V210">
        <v>147.19999999999999</v>
      </c>
      <c r="W210">
        <v>146.4</v>
      </c>
      <c r="X210">
        <v>151.69999999999999</v>
      </c>
      <c r="Y210">
        <v>130.30000000000001</v>
      </c>
      <c r="Z210">
        <v>143.19999999999999</v>
      </c>
      <c r="AA210">
        <v>156.19999999999999</v>
      </c>
      <c r="AB210">
        <v>143.4</v>
      </c>
      <c r="AC210">
        <v>143.6</v>
      </c>
      <c r="AD210">
        <v>149.1</v>
      </c>
    </row>
    <row r="211" spans="1:30" x14ac:dyDescent="0.25">
      <c r="A211" t="s">
        <v>34</v>
      </c>
      <c r="B211">
        <v>2020</v>
      </c>
      <c r="C211" t="s">
        <v>36</v>
      </c>
      <c r="D211">
        <v>145.1</v>
      </c>
      <c r="E211">
        <v>167</v>
      </c>
      <c r="F211">
        <v>148.1</v>
      </c>
      <c r="G211">
        <v>151.5</v>
      </c>
      <c r="H211">
        <v>131.19999999999999</v>
      </c>
      <c r="I211">
        <v>142.5</v>
      </c>
      <c r="J211">
        <v>157.30000000000001</v>
      </c>
      <c r="K211">
        <v>141.1</v>
      </c>
      <c r="L211">
        <v>113.2</v>
      </c>
      <c r="M211">
        <v>153.19999999999999</v>
      </c>
      <c r="N211">
        <v>136.69999999999999</v>
      </c>
      <c r="O211">
        <v>159.6</v>
      </c>
      <c r="P211">
        <v>148.9</v>
      </c>
      <c r="Q211">
        <v>171.2</v>
      </c>
      <c r="R211">
        <v>151.19999999999999</v>
      </c>
      <c r="S211">
        <v>141.9</v>
      </c>
      <c r="T211">
        <v>149.80000000000001</v>
      </c>
      <c r="U211">
        <v>154.5</v>
      </c>
      <c r="V211">
        <v>148.9</v>
      </c>
      <c r="W211">
        <v>146.4</v>
      </c>
      <c r="X211">
        <v>152.30000000000001</v>
      </c>
      <c r="Y211">
        <v>129.9</v>
      </c>
      <c r="Z211">
        <v>143.69999999999999</v>
      </c>
      <c r="AA211">
        <v>156.1</v>
      </c>
      <c r="AB211">
        <v>145.19999999999999</v>
      </c>
      <c r="AC211">
        <v>143.80000000000001</v>
      </c>
      <c r="AD211">
        <v>148.6</v>
      </c>
    </row>
    <row r="212" spans="1:30" x14ac:dyDescent="0.25">
      <c r="A212" t="s">
        <v>34</v>
      </c>
      <c r="B212">
        <v>2020</v>
      </c>
      <c r="C212" t="s">
        <v>37</v>
      </c>
      <c r="D212">
        <v>148.69999999999999</v>
      </c>
      <c r="E212" t="s">
        <v>32</v>
      </c>
      <c r="F212">
        <v>148.80000000000001</v>
      </c>
      <c r="G212">
        <v>155.6</v>
      </c>
      <c r="H212">
        <v>135.1</v>
      </c>
      <c r="I212">
        <v>149.9</v>
      </c>
      <c r="J212">
        <v>168.6</v>
      </c>
      <c r="K212">
        <v>150.4</v>
      </c>
      <c r="L212">
        <v>120.3</v>
      </c>
      <c r="M212">
        <v>157.1</v>
      </c>
      <c r="N212">
        <v>136.80000000000001</v>
      </c>
      <c r="O212" t="s">
        <v>32</v>
      </c>
      <c r="P212">
        <v>151.4</v>
      </c>
      <c r="Q212" t="s">
        <v>32</v>
      </c>
      <c r="R212" t="s">
        <v>32</v>
      </c>
      <c r="S212" t="s">
        <v>32</v>
      </c>
      <c r="T212" t="s">
        <v>32</v>
      </c>
      <c r="U212">
        <v>155.6</v>
      </c>
      <c r="V212">
        <v>144.1</v>
      </c>
      <c r="W212" t="s">
        <v>32</v>
      </c>
      <c r="X212">
        <v>150.69999999999999</v>
      </c>
      <c r="Y212" t="s">
        <v>32</v>
      </c>
      <c r="Z212" t="s">
        <v>32</v>
      </c>
      <c r="AA212" t="s">
        <v>32</v>
      </c>
      <c r="AB212" t="s">
        <v>32</v>
      </c>
      <c r="AC212" t="s">
        <v>32</v>
      </c>
      <c r="AD212" t="s">
        <v>32</v>
      </c>
    </row>
    <row r="213" spans="1:30" x14ac:dyDescent="0.25">
      <c r="A213" t="s">
        <v>34</v>
      </c>
      <c r="B213">
        <v>2020</v>
      </c>
      <c r="C213" t="s">
        <v>38</v>
      </c>
      <c r="D213" t="s">
        <v>32</v>
      </c>
      <c r="E213" t="s">
        <v>32</v>
      </c>
      <c r="F213" t="s">
        <v>32</v>
      </c>
      <c r="G213" t="s">
        <v>32</v>
      </c>
      <c r="H213" t="s">
        <v>32</v>
      </c>
      <c r="I213" t="s">
        <v>32</v>
      </c>
      <c r="J213" t="s">
        <v>32</v>
      </c>
      <c r="K213" t="s">
        <v>32</v>
      </c>
      <c r="L213" t="s">
        <v>32</v>
      </c>
      <c r="M213" t="s">
        <v>32</v>
      </c>
      <c r="N213" t="s">
        <v>32</v>
      </c>
      <c r="O213" t="s">
        <v>32</v>
      </c>
      <c r="P213" t="s">
        <v>32</v>
      </c>
      <c r="Q213" t="s">
        <v>32</v>
      </c>
      <c r="R213" t="s">
        <v>32</v>
      </c>
      <c r="S213" t="s">
        <v>32</v>
      </c>
      <c r="T213" t="s">
        <v>32</v>
      </c>
      <c r="U213" t="s">
        <v>32</v>
      </c>
      <c r="V213" t="s">
        <v>32</v>
      </c>
      <c r="W213" t="s">
        <v>32</v>
      </c>
      <c r="X213" t="s">
        <v>32</v>
      </c>
      <c r="Y213" t="s">
        <v>32</v>
      </c>
      <c r="Z213" t="s">
        <v>32</v>
      </c>
      <c r="AA213" t="s">
        <v>32</v>
      </c>
      <c r="AB213" t="s">
        <v>32</v>
      </c>
      <c r="AC213" t="s">
        <v>32</v>
      </c>
      <c r="AD213" t="s">
        <v>32</v>
      </c>
    </row>
    <row r="214" spans="1:30" x14ac:dyDescent="0.25">
      <c r="A214" t="s">
        <v>34</v>
      </c>
      <c r="B214">
        <v>2020</v>
      </c>
      <c r="C214" t="s">
        <v>39</v>
      </c>
      <c r="D214">
        <v>149.6</v>
      </c>
      <c r="E214">
        <v>192.7</v>
      </c>
      <c r="F214">
        <v>151.4</v>
      </c>
      <c r="G214">
        <v>153.30000000000001</v>
      </c>
      <c r="H214">
        <v>136.30000000000001</v>
      </c>
      <c r="I214">
        <v>147.19999999999999</v>
      </c>
      <c r="J214">
        <v>156.5</v>
      </c>
      <c r="K214">
        <v>150.9</v>
      </c>
      <c r="L214">
        <v>114.2</v>
      </c>
      <c r="M214">
        <v>159.5</v>
      </c>
      <c r="N214">
        <v>139.4</v>
      </c>
      <c r="O214">
        <v>161.80000000000001</v>
      </c>
      <c r="P214">
        <v>154</v>
      </c>
      <c r="Q214">
        <v>183.5</v>
      </c>
      <c r="R214">
        <v>152.5</v>
      </c>
      <c r="S214">
        <v>144.4</v>
      </c>
      <c r="T214">
        <v>151.4</v>
      </c>
      <c r="U214">
        <v>154.69999999999999</v>
      </c>
      <c r="V214">
        <v>141.9</v>
      </c>
      <c r="W214">
        <v>146.4</v>
      </c>
      <c r="X214">
        <v>154.4</v>
      </c>
      <c r="Y214">
        <v>135</v>
      </c>
      <c r="Z214">
        <v>148.30000000000001</v>
      </c>
      <c r="AA214">
        <v>156.4</v>
      </c>
      <c r="AB214">
        <v>151.6</v>
      </c>
      <c r="AC214">
        <v>147</v>
      </c>
      <c r="AD214">
        <v>151.80000000000001</v>
      </c>
    </row>
    <row r="215" spans="1:30" x14ac:dyDescent="0.25">
      <c r="A215" t="s">
        <v>34</v>
      </c>
      <c r="B215">
        <v>2020</v>
      </c>
      <c r="C215" t="s">
        <v>40</v>
      </c>
      <c r="D215">
        <v>149.6</v>
      </c>
      <c r="E215">
        <v>192.7</v>
      </c>
      <c r="F215">
        <v>151.4</v>
      </c>
      <c r="G215">
        <v>153.30000000000001</v>
      </c>
      <c r="H215">
        <v>136.30000000000001</v>
      </c>
      <c r="I215">
        <v>147.19999999999999</v>
      </c>
      <c r="J215">
        <v>156.5</v>
      </c>
      <c r="K215">
        <v>150.9</v>
      </c>
      <c r="L215">
        <v>114.2</v>
      </c>
      <c r="M215">
        <v>159.5</v>
      </c>
      <c r="N215">
        <v>139.4</v>
      </c>
      <c r="O215">
        <v>161.80000000000001</v>
      </c>
      <c r="P215">
        <v>154</v>
      </c>
      <c r="Q215">
        <v>183.5</v>
      </c>
      <c r="R215">
        <v>152.5</v>
      </c>
      <c r="S215">
        <v>144.4</v>
      </c>
      <c r="T215">
        <v>151.4</v>
      </c>
      <c r="U215">
        <v>154.69999999999999</v>
      </c>
      <c r="V215">
        <v>141.9</v>
      </c>
      <c r="W215">
        <v>146.4</v>
      </c>
      <c r="X215">
        <v>154.4</v>
      </c>
      <c r="Y215">
        <v>135</v>
      </c>
      <c r="Z215">
        <v>148.30000000000001</v>
      </c>
      <c r="AA215">
        <v>156.4</v>
      </c>
      <c r="AB215">
        <v>151.6</v>
      </c>
      <c r="AC215">
        <v>147</v>
      </c>
      <c r="AD215">
        <v>151.80000000000001</v>
      </c>
    </row>
    <row r="216" spans="1:30" x14ac:dyDescent="0.25">
      <c r="A216" t="s">
        <v>34</v>
      </c>
      <c r="B216">
        <v>2020</v>
      </c>
      <c r="C216" t="s">
        <v>41</v>
      </c>
      <c r="D216">
        <v>148.9</v>
      </c>
      <c r="E216">
        <v>190.9</v>
      </c>
      <c r="F216">
        <v>150.80000000000001</v>
      </c>
      <c r="G216">
        <v>153.30000000000001</v>
      </c>
      <c r="H216">
        <v>137.4</v>
      </c>
      <c r="I216">
        <v>150.4</v>
      </c>
      <c r="J216">
        <v>178.1</v>
      </c>
      <c r="K216">
        <v>150.4</v>
      </c>
      <c r="L216">
        <v>115.1</v>
      </c>
      <c r="M216">
        <v>160</v>
      </c>
      <c r="N216">
        <v>140.6</v>
      </c>
      <c r="O216">
        <v>162.30000000000001</v>
      </c>
      <c r="P216">
        <v>157</v>
      </c>
      <c r="Q216">
        <v>182.6</v>
      </c>
      <c r="R216">
        <v>153.1</v>
      </c>
      <c r="S216">
        <v>143.4</v>
      </c>
      <c r="T216">
        <v>151.69999999999999</v>
      </c>
      <c r="U216">
        <v>155.5</v>
      </c>
      <c r="V216">
        <v>143</v>
      </c>
      <c r="W216">
        <v>148.4</v>
      </c>
      <c r="X216">
        <v>155</v>
      </c>
      <c r="Y216">
        <v>138.5</v>
      </c>
      <c r="Z216">
        <v>146</v>
      </c>
      <c r="AA216">
        <v>158.5</v>
      </c>
      <c r="AB216">
        <v>154.30000000000001</v>
      </c>
      <c r="AC216">
        <v>149</v>
      </c>
      <c r="AD216">
        <v>153.9</v>
      </c>
    </row>
    <row r="217" spans="1:30" x14ac:dyDescent="0.25">
      <c r="A217" t="s">
        <v>34</v>
      </c>
      <c r="B217">
        <v>2020</v>
      </c>
      <c r="C217" t="s">
        <v>42</v>
      </c>
      <c r="D217">
        <v>148.4</v>
      </c>
      <c r="E217">
        <v>187.1</v>
      </c>
      <c r="F217">
        <v>152.5</v>
      </c>
      <c r="G217">
        <v>153.6</v>
      </c>
      <c r="H217">
        <v>138.19999999999999</v>
      </c>
      <c r="I217">
        <v>150.9</v>
      </c>
      <c r="J217">
        <v>186.7</v>
      </c>
      <c r="K217">
        <v>149.80000000000001</v>
      </c>
      <c r="L217">
        <v>116.4</v>
      </c>
      <c r="M217">
        <v>160.30000000000001</v>
      </c>
      <c r="N217">
        <v>142.19999999999999</v>
      </c>
      <c r="O217">
        <v>162.9</v>
      </c>
      <c r="P217">
        <v>158</v>
      </c>
      <c r="Q217">
        <v>184.4</v>
      </c>
      <c r="R217">
        <v>153.4</v>
      </c>
      <c r="S217">
        <v>144.30000000000001</v>
      </c>
      <c r="T217">
        <v>152</v>
      </c>
      <c r="U217">
        <v>156.30000000000001</v>
      </c>
      <c r="V217">
        <v>142.9</v>
      </c>
      <c r="W217">
        <v>148.69999999999999</v>
      </c>
      <c r="X217">
        <v>155.6</v>
      </c>
      <c r="Y217">
        <v>139.6</v>
      </c>
      <c r="Z217">
        <v>146.6</v>
      </c>
      <c r="AA217">
        <v>157.5</v>
      </c>
      <c r="AB217">
        <v>158.4</v>
      </c>
      <c r="AC217">
        <v>150</v>
      </c>
      <c r="AD217">
        <v>154.69999999999999</v>
      </c>
    </row>
    <row r="218" spans="1:30" x14ac:dyDescent="0.25">
      <c r="A218" t="s">
        <v>34</v>
      </c>
      <c r="B218">
        <v>2020</v>
      </c>
      <c r="C218" t="s">
        <v>43</v>
      </c>
      <c r="D218">
        <v>147.5</v>
      </c>
      <c r="E218">
        <v>188.9</v>
      </c>
      <c r="F218">
        <v>161.4</v>
      </c>
      <c r="G218">
        <v>153.6</v>
      </c>
      <c r="H218">
        <v>140.1</v>
      </c>
      <c r="I218">
        <v>151.19999999999999</v>
      </c>
      <c r="J218">
        <v>209.2</v>
      </c>
      <c r="K218">
        <v>150.9</v>
      </c>
      <c r="L218">
        <v>116.2</v>
      </c>
      <c r="M218">
        <v>161</v>
      </c>
      <c r="N218">
        <v>144</v>
      </c>
      <c r="O218">
        <v>163.19999999999999</v>
      </c>
      <c r="P218">
        <v>161.4</v>
      </c>
      <c r="Q218">
        <v>184.3</v>
      </c>
      <c r="R218">
        <v>153.69999999999999</v>
      </c>
      <c r="S218">
        <v>144.6</v>
      </c>
      <c r="T218">
        <v>152.30000000000001</v>
      </c>
      <c r="U218">
        <v>156.5</v>
      </c>
      <c r="V218">
        <v>143.1</v>
      </c>
      <c r="W218">
        <v>148.69999999999999</v>
      </c>
      <c r="X218">
        <v>156.30000000000001</v>
      </c>
      <c r="Y218">
        <v>140.6</v>
      </c>
      <c r="Z218">
        <v>146.5</v>
      </c>
      <c r="AA218">
        <v>158.5</v>
      </c>
      <c r="AB218">
        <v>157</v>
      </c>
      <c r="AC218">
        <v>150.4</v>
      </c>
      <c r="AD218">
        <v>156.4</v>
      </c>
    </row>
    <row r="219" spans="1:30" x14ac:dyDescent="0.25">
      <c r="A219" t="s">
        <v>34</v>
      </c>
      <c r="B219">
        <v>2020</v>
      </c>
      <c r="C219" t="s">
        <v>45</v>
      </c>
      <c r="D219">
        <v>146.80000000000001</v>
      </c>
      <c r="E219">
        <v>191</v>
      </c>
      <c r="F219">
        <v>173.6</v>
      </c>
      <c r="G219">
        <v>153.80000000000001</v>
      </c>
      <c r="H219">
        <v>142.69999999999999</v>
      </c>
      <c r="I219">
        <v>148.4</v>
      </c>
      <c r="J219">
        <v>230</v>
      </c>
      <c r="K219">
        <v>156.80000000000001</v>
      </c>
      <c r="L219">
        <v>115.7</v>
      </c>
      <c r="M219">
        <v>161.80000000000001</v>
      </c>
      <c r="N219">
        <v>146.5</v>
      </c>
      <c r="O219">
        <v>163.80000000000001</v>
      </c>
      <c r="P219">
        <v>164.7</v>
      </c>
      <c r="Q219">
        <v>184.8</v>
      </c>
      <c r="R219">
        <v>154.30000000000001</v>
      </c>
      <c r="S219">
        <v>144.9</v>
      </c>
      <c r="T219">
        <v>152.80000000000001</v>
      </c>
      <c r="U219">
        <v>158</v>
      </c>
      <c r="V219">
        <v>143.6</v>
      </c>
      <c r="W219">
        <v>149.19999999999999</v>
      </c>
      <c r="X219">
        <v>157.19999999999999</v>
      </c>
      <c r="Y219">
        <v>140.4</v>
      </c>
      <c r="Z219">
        <v>148.4</v>
      </c>
      <c r="AA219">
        <v>158.6</v>
      </c>
      <c r="AB219">
        <v>156.9</v>
      </c>
      <c r="AC219">
        <v>150.69999999999999</v>
      </c>
      <c r="AD219">
        <v>158.4</v>
      </c>
    </row>
    <row r="220" spans="1:30" x14ac:dyDescent="0.25">
      <c r="A220" t="s">
        <v>34</v>
      </c>
      <c r="B220">
        <v>2020</v>
      </c>
      <c r="C220" t="s">
        <v>46</v>
      </c>
      <c r="D220">
        <v>146</v>
      </c>
      <c r="E220">
        <v>191</v>
      </c>
      <c r="F220">
        <v>175.3</v>
      </c>
      <c r="G220">
        <v>154.1</v>
      </c>
      <c r="H220">
        <v>146.6</v>
      </c>
      <c r="I220">
        <v>147.69999999999999</v>
      </c>
      <c r="J220">
        <v>230.5</v>
      </c>
      <c r="K220">
        <v>160.19999999999999</v>
      </c>
      <c r="L220">
        <v>115.3</v>
      </c>
      <c r="M220">
        <v>163</v>
      </c>
      <c r="N220">
        <v>149.19999999999999</v>
      </c>
      <c r="O220">
        <v>164.8</v>
      </c>
      <c r="P220">
        <v>165.4</v>
      </c>
      <c r="Q220">
        <v>185.4</v>
      </c>
      <c r="R220">
        <v>155</v>
      </c>
      <c r="S220">
        <v>145.4</v>
      </c>
      <c r="T220">
        <v>153.6</v>
      </c>
      <c r="U220">
        <v>158.4</v>
      </c>
      <c r="V220">
        <v>144.6</v>
      </c>
      <c r="W220">
        <v>149.69999999999999</v>
      </c>
      <c r="X220">
        <v>158.30000000000001</v>
      </c>
      <c r="Y220">
        <v>140.69999999999999</v>
      </c>
      <c r="Z220">
        <v>148.5</v>
      </c>
      <c r="AA220">
        <v>159.4</v>
      </c>
      <c r="AB220">
        <v>157.1</v>
      </c>
      <c r="AC220">
        <v>151.19999999999999</v>
      </c>
      <c r="AD220">
        <v>158.9</v>
      </c>
    </row>
    <row r="221" spans="1:30" x14ac:dyDescent="0.25">
      <c r="A221" t="s">
        <v>34</v>
      </c>
      <c r="B221">
        <v>2021</v>
      </c>
      <c r="C221" t="s">
        <v>31</v>
      </c>
      <c r="D221">
        <v>144.9</v>
      </c>
      <c r="E221">
        <v>190.1</v>
      </c>
      <c r="F221">
        <v>175.3</v>
      </c>
      <c r="G221">
        <v>154.1</v>
      </c>
      <c r="H221">
        <v>150.9</v>
      </c>
      <c r="I221">
        <v>149.6</v>
      </c>
      <c r="J221">
        <v>194.2</v>
      </c>
      <c r="K221">
        <v>160.4</v>
      </c>
      <c r="L221">
        <v>114.6</v>
      </c>
      <c r="M221">
        <v>164</v>
      </c>
      <c r="N221">
        <v>151.80000000000001</v>
      </c>
      <c r="O221">
        <v>165.6</v>
      </c>
      <c r="P221">
        <v>161</v>
      </c>
      <c r="Q221">
        <v>186.5</v>
      </c>
      <c r="R221">
        <v>155.5</v>
      </c>
      <c r="S221">
        <v>146.1</v>
      </c>
      <c r="T221">
        <v>154.19999999999999</v>
      </c>
      <c r="U221">
        <v>157.69999999999999</v>
      </c>
      <c r="V221">
        <v>147.9</v>
      </c>
      <c r="W221">
        <v>150</v>
      </c>
      <c r="X221">
        <v>159.30000000000001</v>
      </c>
      <c r="Y221">
        <v>141.9</v>
      </c>
      <c r="Z221">
        <v>149.6</v>
      </c>
      <c r="AA221">
        <v>159.19999999999999</v>
      </c>
      <c r="AB221">
        <v>156.80000000000001</v>
      </c>
      <c r="AC221">
        <v>151.9</v>
      </c>
      <c r="AD221">
        <v>157.30000000000001</v>
      </c>
    </row>
    <row r="222" spans="1:30" x14ac:dyDescent="0.25">
      <c r="A222" t="s">
        <v>34</v>
      </c>
      <c r="B222">
        <v>2021</v>
      </c>
      <c r="C222" t="s">
        <v>35</v>
      </c>
      <c r="D222">
        <v>144.30000000000001</v>
      </c>
      <c r="E222">
        <v>186.5</v>
      </c>
      <c r="F222">
        <v>168.7</v>
      </c>
      <c r="G222">
        <v>154.69999999999999</v>
      </c>
      <c r="H222">
        <v>158.69999999999999</v>
      </c>
      <c r="I222">
        <v>150.69999999999999</v>
      </c>
      <c r="J222">
        <v>160</v>
      </c>
      <c r="K222">
        <v>158.80000000000001</v>
      </c>
      <c r="L222">
        <v>112.8</v>
      </c>
      <c r="M222">
        <v>164.2</v>
      </c>
      <c r="N222">
        <v>155.5</v>
      </c>
      <c r="O222">
        <v>167.5</v>
      </c>
      <c r="P222">
        <v>156.9</v>
      </c>
      <c r="Q222">
        <v>188.3</v>
      </c>
      <c r="R222">
        <v>157.19999999999999</v>
      </c>
      <c r="S222">
        <v>147.4</v>
      </c>
      <c r="T222">
        <v>155.80000000000001</v>
      </c>
      <c r="U222">
        <v>159.80000000000001</v>
      </c>
      <c r="V222">
        <v>152.4</v>
      </c>
      <c r="W222">
        <v>150.9</v>
      </c>
      <c r="X222">
        <v>161.30000000000001</v>
      </c>
      <c r="Y222">
        <v>145.1</v>
      </c>
      <c r="Z222">
        <v>151.5</v>
      </c>
      <c r="AA222">
        <v>159.5</v>
      </c>
      <c r="AB222">
        <v>155.80000000000001</v>
      </c>
      <c r="AC222">
        <v>153.4</v>
      </c>
      <c r="AD222">
        <v>156.6</v>
      </c>
    </row>
    <row r="223" spans="1:30" x14ac:dyDescent="0.25">
      <c r="A223" t="s">
        <v>34</v>
      </c>
      <c r="B223">
        <v>2021</v>
      </c>
      <c r="C223" t="s">
        <v>36</v>
      </c>
      <c r="D223">
        <v>144.1</v>
      </c>
      <c r="E223">
        <v>192.2</v>
      </c>
      <c r="F223">
        <v>163.80000000000001</v>
      </c>
      <c r="G223">
        <v>154.9</v>
      </c>
      <c r="H223">
        <v>163.9</v>
      </c>
      <c r="I223">
        <v>153.69999999999999</v>
      </c>
      <c r="J223">
        <v>149.5</v>
      </c>
      <c r="K223">
        <v>159.80000000000001</v>
      </c>
      <c r="L223">
        <v>112.6</v>
      </c>
      <c r="M223">
        <v>163.5</v>
      </c>
      <c r="N223">
        <v>156.5</v>
      </c>
      <c r="O223">
        <v>168.2</v>
      </c>
      <c r="P223">
        <v>156.69999999999999</v>
      </c>
      <c r="Q223">
        <v>188.1</v>
      </c>
      <c r="R223">
        <v>157.80000000000001</v>
      </c>
      <c r="S223">
        <v>147.9</v>
      </c>
      <c r="T223">
        <v>156.4</v>
      </c>
      <c r="U223">
        <v>159.9</v>
      </c>
      <c r="V223">
        <v>155.5</v>
      </c>
      <c r="W223">
        <v>151.19999999999999</v>
      </c>
      <c r="X223">
        <v>161.69999999999999</v>
      </c>
      <c r="Y223">
        <v>146.19999999999999</v>
      </c>
      <c r="Z223">
        <v>152.6</v>
      </c>
      <c r="AA223">
        <v>160.19999999999999</v>
      </c>
      <c r="AB223">
        <v>153.80000000000001</v>
      </c>
      <c r="AC223">
        <v>153.80000000000001</v>
      </c>
      <c r="AD223">
        <v>156.80000000000001</v>
      </c>
    </row>
    <row r="224" spans="1:30" x14ac:dyDescent="0.25">
      <c r="A224" t="s">
        <v>34</v>
      </c>
      <c r="B224">
        <v>2021</v>
      </c>
      <c r="C224" t="s">
        <v>37</v>
      </c>
      <c r="D224">
        <v>144.30000000000001</v>
      </c>
      <c r="E224">
        <v>198</v>
      </c>
      <c r="F224">
        <v>164.6</v>
      </c>
      <c r="G224">
        <v>155.4</v>
      </c>
      <c r="H224">
        <v>170.1</v>
      </c>
      <c r="I224">
        <v>164.4</v>
      </c>
      <c r="J224">
        <v>144.1</v>
      </c>
      <c r="K224">
        <v>161.69999999999999</v>
      </c>
      <c r="L224">
        <v>113.1</v>
      </c>
      <c r="M224">
        <v>163.9</v>
      </c>
      <c r="N224">
        <v>157.6</v>
      </c>
      <c r="O224">
        <v>168.9</v>
      </c>
      <c r="P224">
        <v>158</v>
      </c>
      <c r="Q224">
        <v>188.8</v>
      </c>
      <c r="R224">
        <v>158.80000000000001</v>
      </c>
      <c r="S224">
        <v>148.5</v>
      </c>
      <c r="T224">
        <v>157.30000000000001</v>
      </c>
      <c r="U224">
        <v>161.4</v>
      </c>
      <c r="V224">
        <v>155.6</v>
      </c>
      <c r="W224">
        <v>151.80000000000001</v>
      </c>
      <c r="X224">
        <v>162.30000000000001</v>
      </c>
      <c r="Y224">
        <v>146.6</v>
      </c>
      <c r="Z224">
        <v>153.19999999999999</v>
      </c>
      <c r="AA224">
        <v>160.30000000000001</v>
      </c>
      <c r="AB224">
        <v>155.4</v>
      </c>
      <c r="AC224">
        <v>154.4</v>
      </c>
      <c r="AD224">
        <v>157.80000000000001</v>
      </c>
    </row>
    <row r="225" spans="1:30" x14ac:dyDescent="0.25">
      <c r="A225" t="s">
        <v>34</v>
      </c>
      <c r="B225">
        <v>2021</v>
      </c>
      <c r="C225" t="s">
        <v>38</v>
      </c>
      <c r="D225">
        <v>146.30000000000001</v>
      </c>
      <c r="E225">
        <v>200.5</v>
      </c>
      <c r="F225">
        <v>170.3</v>
      </c>
      <c r="G225">
        <v>156.1</v>
      </c>
      <c r="H225">
        <v>178.7</v>
      </c>
      <c r="I225">
        <v>167.1</v>
      </c>
      <c r="J225">
        <v>147.9</v>
      </c>
      <c r="K225">
        <v>165.4</v>
      </c>
      <c r="L225">
        <v>114.8</v>
      </c>
      <c r="M225">
        <v>168.2</v>
      </c>
      <c r="N225">
        <v>159.30000000000001</v>
      </c>
      <c r="O225">
        <v>170.4</v>
      </c>
      <c r="P225">
        <v>160.69999999999999</v>
      </c>
      <c r="Q225">
        <v>191.9</v>
      </c>
      <c r="R225">
        <v>161.80000000000001</v>
      </c>
      <c r="S225">
        <v>152.1</v>
      </c>
      <c r="T225">
        <v>160.4</v>
      </c>
      <c r="U225">
        <v>161.6</v>
      </c>
      <c r="V225">
        <v>159.4</v>
      </c>
      <c r="W225">
        <v>154.69999999999999</v>
      </c>
      <c r="X225">
        <v>165.8</v>
      </c>
      <c r="Y225">
        <v>148.9</v>
      </c>
      <c r="Z225">
        <v>155.80000000000001</v>
      </c>
      <c r="AA225">
        <v>161.19999999999999</v>
      </c>
      <c r="AB225">
        <v>158.6</v>
      </c>
      <c r="AC225">
        <v>156.80000000000001</v>
      </c>
      <c r="AD225">
        <v>160.4</v>
      </c>
    </row>
    <row r="226" spans="1:30" x14ac:dyDescent="0.25">
      <c r="A226" t="s">
        <v>34</v>
      </c>
      <c r="B226">
        <v>2021</v>
      </c>
      <c r="C226" t="s">
        <v>39</v>
      </c>
      <c r="D226">
        <v>146.69999999999999</v>
      </c>
      <c r="E226">
        <v>202</v>
      </c>
      <c r="F226">
        <v>180.7</v>
      </c>
      <c r="G226">
        <v>156.19999999999999</v>
      </c>
      <c r="H226">
        <v>183.7</v>
      </c>
      <c r="I226">
        <v>164.6</v>
      </c>
      <c r="J226">
        <v>155.4</v>
      </c>
      <c r="K226">
        <v>166</v>
      </c>
      <c r="L226">
        <v>115.1</v>
      </c>
      <c r="M226">
        <v>168.5</v>
      </c>
      <c r="N226">
        <v>160</v>
      </c>
      <c r="O226">
        <v>172.4</v>
      </c>
      <c r="P226">
        <v>162.6</v>
      </c>
      <c r="Q226">
        <v>190.8</v>
      </c>
      <c r="R226">
        <v>162.19999999999999</v>
      </c>
      <c r="S226">
        <v>151.80000000000001</v>
      </c>
      <c r="T226">
        <v>160.69999999999999</v>
      </c>
      <c r="U226">
        <v>160.5</v>
      </c>
      <c r="V226">
        <v>159.80000000000001</v>
      </c>
      <c r="W226">
        <v>154.80000000000001</v>
      </c>
      <c r="X226">
        <v>166.3</v>
      </c>
      <c r="Y226">
        <v>150.69999999999999</v>
      </c>
      <c r="Z226">
        <v>154.9</v>
      </c>
      <c r="AA226">
        <v>161.69999999999999</v>
      </c>
      <c r="AB226">
        <v>158.80000000000001</v>
      </c>
      <c r="AC226">
        <v>157.6</v>
      </c>
      <c r="AD226">
        <v>161.30000000000001</v>
      </c>
    </row>
    <row r="227" spans="1:30" x14ac:dyDescent="0.25">
      <c r="A227" t="s">
        <v>34</v>
      </c>
      <c r="B227">
        <v>2021</v>
      </c>
      <c r="C227" t="s">
        <v>40</v>
      </c>
      <c r="D227">
        <v>146.4</v>
      </c>
      <c r="E227">
        <v>206.8</v>
      </c>
      <c r="F227">
        <v>182.2</v>
      </c>
      <c r="G227">
        <v>157.5</v>
      </c>
      <c r="H227">
        <v>182.1</v>
      </c>
      <c r="I227">
        <v>163.9</v>
      </c>
      <c r="J227">
        <v>164.2</v>
      </c>
      <c r="K227">
        <v>164</v>
      </c>
      <c r="L227">
        <v>114.5</v>
      </c>
      <c r="M227">
        <v>168.3</v>
      </c>
      <c r="N227">
        <v>160.9</v>
      </c>
      <c r="O227">
        <v>172.2</v>
      </c>
      <c r="P227">
        <v>164</v>
      </c>
      <c r="Q227">
        <v>191.2</v>
      </c>
      <c r="R227">
        <v>162.80000000000001</v>
      </c>
      <c r="S227">
        <v>153.1</v>
      </c>
      <c r="T227">
        <v>161.4</v>
      </c>
      <c r="U227">
        <v>161.5</v>
      </c>
      <c r="V227">
        <v>160.69999999999999</v>
      </c>
      <c r="W227">
        <v>155.80000000000001</v>
      </c>
      <c r="X227">
        <v>167</v>
      </c>
      <c r="Y227">
        <v>153.1</v>
      </c>
      <c r="Z227">
        <v>155.30000000000001</v>
      </c>
      <c r="AA227">
        <v>163.19999999999999</v>
      </c>
      <c r="AB227">
        <v>160.1</v>
      </c>
      <c r="AC227">
        <v>159</v>
      </c>
      <c r="AD227">
        <v>162.5</v>
      </c>
    </row>
    <row r="228" spans="1:30" x14ac:dyDescent="0.25">
      <c r="A228" t="s">
        <v>34</v>
      </c>
      <c r="B228">
        <v>2021</v>
      </c>
      <c r="C228" t="s">
        <v>41</v>
      </c>
      <c r="D228">
        <v>146.6</v>
      </c>
      <c r="E228">
        <v>204</v>
      </c>
      <c r="F228">
        <v>172.8</v>
      </c>
      <c r="G228">
        <v>158.4</v>
      </c>
      <c r="H228">
        <v>188</v>
      </c>
      <c r="I228">
        <v>156.80000000000001</v>
      </c>
      <c r="J228">
        <v>162.19999999999999</v>
      </c>
      <c r="K228">
        <v>164.1</v>
      </c>
      <c r="L228">
        <v>119.7</v>
      </c>
      <c r="M228">
        <v>168.8</v>
      </c>
      <c r="N228">
        <v>162.69999999999999</v>
      </c>
      <c r="O228">
        <v>173.9</v>
      </c>
      <c r="P228">
        <v>164</v>
      </c>
      <c r="Q228">
        <v>192.1</v>
      </c>
      <c r="R228">
        <v>164.5</v>
      </c>
      <c r="S228">
        <v>155.30000000000001</v>
      </c>
      <c r="T228">
        <v>163.19999999999999</v>
      </c>
      <c r="U228">
        <v>162.1</v>
      </c>
      <c r="V228">
        <v>162.6</v>
      </c>
      <c r="W228">
        <v>157.5</v>
      </c>
      <c r="X228">
        <v>168.4</v>
      </c>
      <c r="Y228">
        <v>154</v>
      </c>
      <c r="Z228">
        <v>157.6</v>
      </c>
      <c r="AA228">
        <v>163.80000000000001</v>
      </c>
      <c r="AB228">
        <v>160</v>
      </c>
      <c r="AC228">
        <v>160</v>
      </c>
      <c r="AD228">
        <v>163.19999999999999</v>
      </c>
    </row>
    <row r="229" spans="1:30" x14ac:dyDescent="0.25">
      <c r="A229" t="s">
        <v>34</v>
      </c>
      <c r="B229">
        <v>2021</v>
      </c>
      <c r="C229" t="s">
        <v>42</v>
      </c>
      <c r="D229">
        <v>146.6</v>
      </c>
      <c r="E229">
        <v>204</v>
      </c>
      <c r="F229">
        <v>172.8</v>
      </c>
      <c r="G229">
        <v>158.4</v>
      </c>
      <c r="H229">
        <v>188</v>
      </c>
      <c r="I229">
        <v>156.69999999999999</v>
      </c>
      <c r="J229">
        <v>162.30000000000001</v>
      </c>
      <c r="K229">
        <v>164.1</v>
      </c>
      <c r="L229">
        <v>119.7</v>
      </c>
      <c r="M229">
        <v>168.8</v>
      </c>
      <c r="N229">
        <v>162.69999999999999</v>
      </c>
      <c r="O229">
        <v>173.9</v>
      </c>
      <c r="P229">
        <v>164</v>
      </c>
      <c r="Q229">
        <v>192.1</v>
      </c>
      <c r="R229">
        <v>164.6</v>
      </c>
      <c r="S229">
        <v>155.30000000000001</v>
      </c>
      <c r="T229">
        <v>163.30000000000001</v>
      </c>
      <c r="U229">
        <v>162.1</v>
      </c>
      <c r="V229">
        <v>162.6</v>
      </c>
      <c r="W229">
        <v>157.5</v>
      </c>
      <c r="X229">
        <v>168.4</v>
      </c>
      <c r="Y229">
        <v>154</v>
      </c>
      <c r="Z229">
        <v>157.69999999999999</v>
      </c>
      <c r="AA229">
        <v>163.69999999999999</v>
      </c>
      <c r="AB229">
        <v>160</v>
      </c>
      <c r="AC229">
        <v>160</v>
      </c>
      <c r="AD229">
        <v>163.19999999999999</v>
      </c>
    </row>
    <row r="230" spans="1:30" x14ac:dyDescent="0.25">
      <c r="A230" t="s">
        <v>34</v>
      </c>
      <c r="B230">
        <v>2021</v>
      </c>
      <c r="C230" t="s">
        <v>43</v>
      </c>
      <c r="D230">
        <v>147.4</v>
      </c>
      <c r="E230">
        <v>204.6</v>
      </c>
      <c r="F230">
        <v>171.2</v>
      </c>
      <c r="G230">
        <v>158.69999999999999</v>
      </c>
      <c r="H230">
        <v>190.6</v>
      </c>
      <c r="I230">
        <v>155.69999999999999</v>
      </c>
      <c r="J230">
        <v>185.3</v>
      </c>
      <c r="K230">
        <v>165.2</v>
      </c>
      <c r="L230">
        <v>121.9</v>
      </c>
      <c r="M230">
        <v>169.3</v>
      </c>
      <c r="N230">
        <v>163.19999999999999</v>
      </c>
      <c r="O230">
        <v>174.7</v>
      </c>
      <c r="P230">
        <v>167.7</v>
      </c>
      <c r="Q230">
        <v>192.7</v>
      </c>
      <c r="R230">
        <v>165.7</v>
      </c>
      <c r="S230">
        <v>156.30000000000001</v>
      </c>
      <c r="T230">
        <v>164.3</v>
      </c>
      <c r="U230">
        <v>163.6</v>
      </c>
      <c r="V230">
        <v>164.2</v>
      </c>
      <c r="W230">
        <v>158.4</v>
      </c>
      <c r="X230">
        <v>169.1</v>
      </c>
      <c r="Y230">
        <v>155.69999999999999</v>
      </c>
      <c r="Z230">
        <v>158.6</v>
      </c>
      <c r="AA230">
        <v>163.9</v>
      </c>
      <c r="AB230">
        <v>160.80000000000001</v>
      </c>
      <c r="AC230">
        <v>161</v>
      </c>
      <c r="AD230">
        <v>165.5</v>
      </c>
    </row>
    <row r="231" spans="1:30" x14ac:dyDescent="0.25">
      <c r="A231" t="s">
        <v>34</v>
      </c>
      <c r="B231">
        <v>2021</v>
      </c>
      <c r="C231" t="s">
        <v>45</v>
      </c>
      <c r="D231">
        <v>148.19999999999999</v>
      </c>
      <c r="E231">
        <v>201.6</v>
      </c>
      <c r="F231">
        <v>173</v>
      </c>
      <c r="G231">
        <v>159.30000000000001</v>
      </c>
      <c r="H231">
        <v>190.1</v>
      </c>
      <c r="I231">
        <v>156.5</v>
      </c>
      <c r="J231">
        <v>199.2</v>
      </c>
      <c r="K231">
        <v>165.3</v>
      </c>
      <c r="L231">
        <v>122.4</v>
      </c>
      <c r="M231">
        <v>169.6</v>
      </c>
      <c r="N231">
        <v>163.69999999999999</v>
      </c>
      <c r="O231">
        <v>175.5</v>
      </c>
      <c r="P231">
        <v>169.7</v>
      </c>
      <c r="Q231">
        <v>192.9</v>
      </c>
      <c r="R231">
        <v>167.2</v>
      </c>
      <c r="S231">
        <v>157.4</v>
      </c>
      <c r="T231">
        <v>165.8</v>
      </c>
      <c r="U231">
        <v>164.2</v>
      </c>
      <c r="V231">
        <v>163.9</v>
      </c>
      <c r="W231">
        <v>159.30000000000001</v>
      </c>
      <c r="X231">
        <v>169.9</v>
      </c>
      <c r="Y231">
        <v>154.80000000000001</v>
      </c>
      <c r="Z231">
        <v>159.80000000000001</v>
      </c>
      <c r="AA231">
        <v>164.3</v>
      </c>
      <c r="AB231">
        <v>162.19999999999999</v>
      </c>
      <c r="AC231">
        <v>161.4</v>
      </c>
      <c r="AD231">
        <v>166.7</v>
      </c>
    </row>
    <row r="232" spans="1:30" x14ac:dyDescent="0.25">
      <c r="A232" t="s">
        <v>34</v>
      </c>
      <c r="B232">
        <v>2021</v>
      </c>
      <c r="C232" t="s">
        <v>46</v>
      </c>
      <c r="D232">
        <v>148.69999999999999</v>
      </c>
      <c r="E232">
        <v>198.8</v>
      </c>
      <c r="F232">
        <v>177.9</v>
      </c>
      <c r="G232">
        <v>159.9</v>
      </c>
      <c r="H232">
        <v>187.6</v>
      </c>
      <c r="I232">
        <v>154.9</v>
      </c>
      <c r="J232">
        <v>188.3</v>
      </c>
      <c r="K232">
        <v>164.4</v>
      </c>
      <c r="L232">
        <v>121</v>
      </c>
      <c r="M232">
        <v>170.5</v>
      </c>
      <c r="N232">
        <v>164.2</v>
      </c>
      <c r="O232">
        <v>176.5</v>
      </c>
      <c r="P232">
        <v>168.2</v>
      </c>
      <c r="Q232">
        <v>192.4</v>
      </c>
      <c r="R232">
        <v>168.5</v>
      </c>
      <c r="S232">
        <v>158.69999999999999</v>
      </c>
      <c r="T232">
        <v>167</v>
      </c>
      <c r="U232">
        <v>163.4</v>
      </c>
      <c r="V232">
        <v>164.1</v>
      </c>
      <c r="W232">
        <v>160.19999999999999</v>
      </c>
      <c r="X232">
        <v>170.6</v>
      </c>
      <c r="Y232">
        <v>155.69999999999999</v>
      </c>
      <c r="Z232">
        <v>160.6</v>
      </c>
      <c r="AA232">
        <v>164.4</v>
      </c>
      <c r="AB232">
        <v>162.6</v>
      </c>
      <c r="AC232">
        <v>162</v>
      </c>
      <c r="AD232">
        <v>166.2</v>
      </c>
    </row>
    <row r="233" spans="1:30" x14ac:dyDescent="0.25">
      <c r="A233" t="s">
        <v>34</v>
      </c>
      <c r="B233">
        <v>2022</v>
      </c>
      <c r="C233" t="s">
        <v>31</v>
      </c>
      <c r="D233">
        <v>149.5</v>
      </c>
      <c r="E233">
        <v>198.7</v>
      </c>
      <c r="F233">
        <v>178.8</v>
      </c>
      <c r="G233">
        <v>160.5</v>
      </c>
      <c r="H233">
        <v>184.7</v>
      </c>
      <c r="I233">
        <v>153.69999999999999</v>
      </c>
      <c r="J233">
        <v>174.3</v>
      </c>
      <c r="K233">
        <v>163.9</v>
      </c>
      <c r="L233">
        <v>120</v>
      </c>
      <c r="M233">
        <v>172.1</v>
      </c>
      <c r="N233">
        <v>164.3</v>
      </c>
      <c r="O233">
        <v>177.3</v>
      </c>
      <c r="P233">
        <v>166.4</v>
      </c>
      <c r="Q233">
        <v>192.2</v>
      </c>
      <c r="R233">
        <v>169.9</v>
      </c>
      <c r="S233">
        <v>160.69999999999999</v>
      </c>
      <c r="T233">
        <v>168.5</v>
      </c>
      <c r="U233">
        <v>164.5</v>
      </c>
      <c r="V233">
        <v>164.2</v>
      </c>
      <c r="W233">
        <v>161.1</v>
      </c>
      <c r="X233">
        <v>171.4</v>
      </c>
      <c r="Y233">
        <v>156.5</v>
      </c>
      <c r="Z233">
        <v>161.19999999999999</v>
      </c>
      <c r="AA233">
        <v>164.7</v>
      </c>
      <c r="AB233">
        <v>163</v>
      </c>
      <c r="AC233">
        <v>162.69999999999999</v>
      </c>
      <c r="AD233">
        <v>165.7</v>
      </c>
    </row>
    <row r="234" spans="1:30" x14ac:dyDescent="0.25">
      <c r="A234" t="s">
        <v>34</v>
      </c>
      <c r="B234">
        <v>2022</v>
      </c>
      <c r="C234" t="s">
        <v>35</v>
      </c>
      <c r="D234">
        <v>150</v>
      </c>
      <c r="E234">
        <v>200.6</v>
      </c>
      <c r="F234">
        <v>175.8</v>
      </c>
      <c r="G234">
        <v>160.69999999999999</v>
      </c>
      <c r="H234">
        <v>184.9</v>
      </c>
      <c r="I234">
        <v>153.69999999999999</v>
      </c>
      <c r="J234">
        <v>169.7</v>
      </c>
      <c r="K234">
        <v>163.69999999999999</v>
      </c>
      <c r="L234">
        <v>118.9</v>
      </c>
      <c r="M234">
        <v>174.3</v>
      </c>
      <c r="N234">
        <v>164.7</v>
      </c>
      <c r="O234">
        <v>178</v>
      </c>
      <c r="P234">
        <v>166.2</v>
      </c>
      <c r="Q234">
        <v>192.8</v>
      </c>
      <c r="R234">
        <v>170.8</v>
      </c>
      <c r="S234">
        <v>162.4</v>
      </c>
      <c r="T234">
        <v>169.6</v>
      </c>
      <c r="U234">
        <v>165.5</v>
      </c>
      <c r="V234">
        <v>165.7</v>
      </c>
      <c r="W234">
        <v>161.80000000000001</v>
      </c>
      <c r="X234">
        <v>172.2</v>
      </c>
      <c r="Y234">
        <v>156.9</v>
      </c>
      <c r="Z234">
        <v>162.1</v>
      </c>
      <c r="AA234">
        <v>165.4</v>
      </c>
      <c r="AB234">
        <v>164.4</v>
      </c>
      <c r="AC234">
        <v>163.5</v>
      </c>
      <c r="AD234">
        <v>166.1</v>
      </c>
    </row>
    <row r="235" spans="1:30" x14ac:dyDescent="0.25">
      <c r="A235" t="s">
        <v>34</v>
      </c>
      <c r="B235">
        <v>2022</v>
      </c>
      <c r="C235" t="s">
        <v>36</v>
      </c>
      <c r="D235">
        <v>151.30000000000001</v>
      </c>
      <c r="E235">
        <v>210.7</v>
      </c>
      <c r="F235">
        <v>167.8</v>
      </c>
      <c r="G235">
        <v>162.19999999999999</v>
      </c>
      <c r="H235">
        <v>194.6</v>
      </c>
      <c r="I235">
        <v>157.6</v>
      </c>
      <c r="J235">
        <v>166.9</v>
      </c>
      <c r="K235">
        <v>163.9</v>
      </c>
      <c r="L235">
        <v>118.8</v>
      </c>
      <c r="M235">
        <v>177.4</v>
      </c>
      <c r="N235">
        <v>165.3</v>
      </c>
      <c r="O235">
        <v>179.3</v>
      </c>
      <c r="P235">
        <v>168.4</v>
      </c>
      <c r="Q235">
        <v>193.7</v>
      </c>
      <c r="R235">
        <v>172.1</v>
      </c>
      <c r="S235">
        <v>164.6</v>
      </c>
      <c r="T235">
        <v>171.1</v>
      </c>
      <c r="U235">
        <v>165.3</v>
      </c>
      <c r="V235">
        <v>167.2</v>
      </c>
      <c r="W235">
        <v>162.80000000000001</v>
      </c>
      <c r="X235">
        <v>173</v>
      </c>
      <c r="Y235">
        <v>157.9</v>
      </c>
      <c r="Z235">
        <v>163.30000000000001</v>
      </c>
      <c r="AA235">
        <v>166</v>
      </c>
      <c r="AB235">
        <v>167.2</v>
      </c>
      <c r="AC235">
        <v>164.6</v>
      </c>
      <c r="AD235">
        <v>167.7</v>
      </c>
    </row>
    <row r="236" spans="1:30" x14ac:dyDescent="0.25">
      <c r="A236" t="s">
        <v>34</v>
      </c>
      <c r="B236">
        <v>2022</v>
      </c>
      <c r="C236" t="s">
        <v>37</v>
      </c>
      <c r="D236">
        <v>152.9</v>
      </c>
      <c r="E236">
        <v>211.8</v>
      </c>
      <c r="F236">
        <v>164.5</v>
      </c>
      <c r="G236">
        <v>163.9</v>
      </c>
      <c r="H236">
        <v>199.5</v>
      </c>
      <c r="I236">
        <v>172.6</v>
      </c>
      <c r="J236">
        <v>166.2</v>
      </c>
      <c r="K236">
        <v>164.7</v>
      </c>
      <c r="L236">
        <v>119</v>
      </c>
      <c r="M236">
        <v>181.3</v>
      </c>
      <c r="N236">
        <v>166.2</v>
      </c>
      <c r="O236">
        <v>180.9</v>
      </c>
      <c r="P236">
        <v>170.8</v>
      </c>
      <c r="Q236">
        <v>193.9</v>
      </c>
      <c r="R236">
        <v>173.9</v>
      </c>
      <c r="S236">
        <v>166.5</v>
      </c>
      <c r="T236">
        <v>172.8</v>
      </c>
      <c r="U236">
        <v>167</v>
      </c>
      <c r="V236">
        <v>172.2</v>
      </c>
      <c r="W236">
        <v>164</v>
      </c>
      <c r="X236">
        <v>174</v>
      </c>
      <c r="Y236">
        <v>162.6</v>
      </c>
      <c r="Z236">
        <v>164.4</v>
      </c>
      <c r="AA236">
        <v>166.9</v>
      </c>
      <c r="AB236">
        <v>168.8</v>
      </c>
      <c r="AC236">
        <v>166.8</v>
      </c>
      <c r="AD236">
        <v>170.1</v>
      </c>
    </row>
    <row r="237" spans="1:30" x14ac:dyDescent="0.25">
      <c r="A237" t="s">
        <v>34</v>
      </c>
      <c r="B237">
        <v>2022</v>
      </c>
      <c r="C237" t="s">
        <v>38</v>
      </c>
      <c r="D237">
        <v>154.1</v>
      </c>
      <c r="E237">
        <v>217</v>
      </c>
      <c r="F237">
        <v>162.4</v>
      </c>
      <c r="G237">
        <v>164.9</v>
      </c>
      <c r="H237">
        <v>202.4</v>
      </c>
      <c r="I237">
        <v>171</v>
      </c>
      <c r="J237">
        <v>174.9</v>
      </c>
      <c r="K237">
        <v>164.7</v>
      </c>
      <c r="L237">
        <v>119.7</v>
      </c>
      <c r="M237">
        <v>184.9</v>
      </c>
      <c r="N237">
        <v>167.1</v>
      </c>
      <c r="O237">
        <v>182.5</v>
      </c>
      <c r="P237">
        <v>173.3</v>
      </c>
      <c r="Q237">
        <v>194.1</v>
      </c>
      <c r="R237">
        <v>175.6</v>
      </c>
      <c r="S237">
        <v>168.4</v>
      </c>
      <c r="T237">
        <v>174.6</v>
      </c>
      <c r="U237">
        <v>167.5</v>
      </c>
      <c r="V237">
        <v>174.6</v>
      </c>
      <c r="W237">
        <v>165.2</v>
      </c>
      <c r="X237">
        <v>174.8</v>
      </c>
      <c r="Y237">
        <v>163</v>
      </c>
      <c r="Z237">
        <v>165.1</v>
      </c>
      <c r="AA237">
        <v>167.9</v>
      </c>
      <c r="AB237">
        <v>168.4</v>
      </c>
      <c r="AC237">
        <v>167.5</v>
      </c>
      <c r="AD237">
        <v>171.7</v>
      </c>
    </row>
    <row r="238" spans="1:30" x14ac:dyDescent="0.25">
      <c r="A238" t="s">
        <v>34</v>
      </c>
      <c r="B238">
        <v>2022</v>
      </c>
      <c r="C238" t="s">
        <v>39</v>
      </c>
      <c r="D238">
        <v>155</v>
      </c>
      <c r="E238">
        <v>219.4</v>
      </c>
      <c r="F238">
        <v>170.8</v>
      </c>
      <c r="G238">
        <v>165.8</v>
      </c>
      <c r="H238">
        <v>200.9</v>
      </c>
      <c r="I238">
        <v>169.7</v>
      </c>
      <c r="J238">
        <v>182.3</v>
      </c>
      <c r="K238">
        <v>164.3</v>
      </c>
      <c r="L238">
        <v>119.9</v>
      </c>
      <c r="M238">
        <v>187.1</v>
      </c>
      <c r="N238">
        <v>167.9</v>
      </c>
      <c r="O238">
        <v>183.9</v>
      </c>
      <c r="P238">
        <v>174.9</v>
      </c>
      <c r="Q238">
        <v>194.3</v>
      </c>
      <c r="R238">
        <v>177.1</v>
      </c>
      <c r="S238">
        <v>169.9</v>
      </c>
      <c r="T238">
        <v>176</v>
      </c>
      <c r="U238">
        <v>166.8</v>
      </c>
      <c r="V238">
        <v>176</v>
      </c>
      <c r="W238">
        <v>166.4</v>
      </c>
      <c r="X238">
        <v>175.4</v>
      </c>
      <c r="Y238">
        <v>161.1</v>
      </c>
      <c r="Z238">
        <v>165.8</v>
      </c>
      <c r="AA238">
        <v>169</v>
      </c>
      <c r="AB238">
        <v>169.4</v>
      </c>
      <c r="AC238">
        <v>167.5</v>
      </c>
      <c r="AD238">
        <v>172.6</v>
      </c>
    </row>
    <row r="239" spans="1:30" x14ac:dyDescent="0.25">
      <c r="A239" t="s">
        <v>34</v>
      </c>
      <c r="B239">
        <v>2022</v>
      </c>
      <c r="C239" t="s">
        <v>40</v>
      </c>
      <c r="D239">
        <v>156.5</v>
      </c>
      <c r="E239">
        <v>213</v>
      </c>
      <c r="F239">
        <v>175.2</v>
      </c>
      <c r="G239">
        <v>166.6</v>
      </c>
      <c r="H239">
        <v>195.8</v>
      </c>
      <c r="I239">
        <v>174.2</v>
      </c>
      <c r="J239">
        <v>182.1</v>
      </c>
      <c r="K239">
        <v>164.3</v>
      </c>
      <c r="L239">
        <v>120</v>
      </c>
      <c r="M239">
        <v>190</v>
      </c>
      <c r="N239">
        <v>168.4</v>
      </c>
      <c r="O239">
        <v>185.2</v>
      </c>
      <c r="P239">
        <v>175</v>
      </c>
      <c r="Q239">
        <v>194.6</v>
      </c>
      <c r="R239">
        <v>178.3</v>
      </c>
      <c r="S239">
        <v>171.3</v>
      </c>
      <c r="T239">
        <v>177.3</v>
      </c>
      <c r="U239">
        <v>167.8</v>
      </c>
      <c r="V239">
        <v>179.6</v>
      </c>
      <c r="W239">
        <v>167.4</v>
      </c>
      <c r="X239">
        <v>176.1</v>
      </c>
      <c r="Y239">
        <v>161.6</v>
      </c>
      <c r="Z239">
        <v>166.3</v>
      </c>
      <c r="AA239">
        <v>171.4</v>
      </c>
      <c r="AB239">
        <v>169.7</v>
      </c>
      <c r="AC239">
        <v>168.4</v>
      </c>
      <c r="AD239">
        <v>173.4</v>
      </c>
    </row>
    <row r="240" spans="1:30" x14ac:dyDescent="0.25">
      <c r="A240" t="s">
        <v>34</v>
      </c>
      <c r="B240">
        <v>2022</v>
      </c>
      <c r="C240" t="s">
        <v>41</v>
      </c>
      <c r="D240">
        <v>160.30000000000001</v>
      </c>
      <c r="E240">
        <v>206.5</v>
      </c>
      <c r="F240">
        <v>169.2</v>
      </c>
      <c r="G240">
        <v>168.1</v>
      </c>
      <c r="H240">
        <v>192.4</v>
      </c>
      <c r="I240">
        <v>172.9</v>
      </c>
      <c r="J240">
        <v>186.7</v>
      </c>
      <c r="K240">
        <v>167.2</v>
      </c>
      <c r="L240">
        <v>120.9</v>
      </c>
      <c r="M240">
        <v>193.6</v>
      </c>
      <c r="N240">
        <v>168.8</v>
      </c>
      <c r="O240">
        <v>186.3</v>
      </c>
      <c r="P240">
        <v>176.3</v>
      </c>
      <c r="Q240">
        <v>195</v>
      </c>
      <c r="R240">
        <v>179.5</v>
      </c>
      <c r="S240">
        <v>172.7</v>
      </c>
      <c r="T240">
        <v>178.5</v>
      </c>
      <c r="U240">
        <v>169</v>
      </c>
      <c r="V240">
        <v>178.8</v>
      </c>
      <c r="W240">
        <v>168.5</v>
      </c>
      <c r="X240">
        <v>176.8</v>
      </c>
      <c r="Y240">
        <v>161.9</v>
      </c>
      <c r="Z240">
        <v>166.9</v>
      </c>
      <c r="AA240">
        <v>172.3</v>
      </c>
      <c r="AB240">
        <v>171.2</v>
      </c>
      <c r="AC240">
        <v>169.1</v>
      </c>
      <c r="AD240">
        <v>174.3</v>
      </c>
    </row>
    <row r="241" spans="1:30" x14ac:dyDescent="0.25">
      <c r="A241" t="s">
        <v>34</v>
      </c>
      <c r="B241">
        <v>2022</v>
      </c>
      <c r="C241" t="s">
        <v>42</v>
      </c>
      <c r="D241">
        <v>163.5</v>
      </c>
      <c r="E241">
        <v>209.2</v>
      </c>
      <c r="F241">
        <v>169.7</v>
      </c>
      <c r="G241">
        <v>169.7</v>
      </c>
      <c r="H241">
        <v>188.7</v>
      </c>
      <c r="I241">
        <v>165.7</v>
      </c>
      <c r="J241">
        <v>191.8</v>
      </c>
      <c r="K241">
        <v>169.1</v>
      </c>
      <c r="L241">
        <v>121.6</v>
      </c>
      <c r="M241">
        <v>197.3</v>
      </c>
      <c r="N241">
        <v>169.4</v>
      </c>
      <c r="O241">
        <v>187.4</v>
      </c>
      <c r="P241">
        <v>177.8</v>
      </c>
      <c r="Q241">
        <v>195.9</v>
      </c>
      <c r="R241">
        <v>180.9</v>
      </c>
      <c r="S241">
        <v>174.3</v>
      </c>
      <c r="T241">
        <v>179.9</v>
      </c>
      <c r="U241">
        <v>169.5</v>
      </c>
      <c r="V241">
        <v>179.5</v>
      </c>
      <c r="W241">
        <v>169.5</v>
      </c>
      <c r="X241">
        <v>177.8</v>
      </c>
      <c r="Y241">
        <v>162.30000000000001</v>
      </c>
      <c r="Z241">
        <v>167.6</v>
      </c>
      <c r="AA241">
        <v>173.1</v>
      </c>
      <c r="AB241">
        <v>170.9</v>
      </c>
      <c r="AC241">
        <v>169.7</v>
      </c>
      <c r="AD241">
        <v>175.3</v>
      </c>
    </row>
    <row r="242" spans="1:30" x14ac:dyDescent="0.25">
      <c r="A242" t="s">
        <v>34</v>
      </c>
      <c r="B242">
        <v>2022</v>
      </c>
      <c r="C242" t="s">
        <v>43</v>
      </c>
      <c r="D242">
        <v>165.2</v>
      </c>
      <c r="E242">
        <v>210.9</v>
      </c>
      <c r="F242">
        <v>170.9</v>
      </c>
      <c r="G242">
        <v>170.9</v>
      </c>
      <c r="H242">
        <v>186.5</v>
      </c>
      <c r="I242">
        <v>163.80000000000001</v>
      </c>
      <c r="J242">
        <v>199.7</v>
      </c>
      <c r="K242">
        <v>169.8</v>
      </c>
      <c r="L242">
        <v>121.9</v>
      </c>
      <c r="M242">
        <v>199.9</v>
      </c>
      <c r="N242">
        <v>169.9</v>
      </c>
      <c r="O242">
        <v>188.3</v>
      </c>
      <c r="P242">
        <v>179.6</v>
      </c>
      <c r="Q242">
        <v>196.3</v>
      </c>
      <c r="R242">
        <v>181.9</v>
      </c>
      <c r="S242">
        <v>175.3</v>
      </c>
      <c r="T242">
        <v>181</v>
      </c>
      <c r="U242">
        <v>171.2</v>
      </c>
      <c r="V242">
        <v>180.5</v>
      </c>
      <c r="W242">
        <v>170.4</v>
      </c>
      <c r="X242">
        <v>178.7</v>
      </c>
      <c r="Y242">
        <v>162.9</v>
      </c>
      <c r="Z242">
        <v>168.2</v>
      </c>
      <c r="AA242">
        <v>173.4</v>
      </c>
      <c r="AB242">
        <v>172.1</v>
      </c>
      <c r="AC242">
        <v>170.5</v>
      </c>
      <c r="AD242">
        <v>176.7</v>
      </c>
    </row>
    <row r="243" spans="1:30" x14ac:dyDescent="0.25">
      <c r="A243" t="s">
        <v>34</v>
      </c>
      <c r="B243">
        <v>2022</v>
      </c>
      <c r="C243" t="s">
        <v>45</v>
      </c>
      <c r="D243">
        <v>167.4</v>
      </c>
      <c r="E243">
        <v>209.4</v>
      </c>
      <c r="F243">
        <v>181.4</v>
      </c>
      <c r="G243">
        <v>172.3</v>
      </c>
      <c r="H243">
        <v>188.9</v>
      </c>
      <c r="I243">
        <v>160.69999999999999</v>
      </c>
      <c r="J243">
        <v>183.1</v>
      </c>
      <c r="K243">
        <v>170.5</v>
      </c>
      <c r="L243">
        <v>122.1</v>
      </c>
      <c r="M243">
        <v>202.8</v>
      </c>
      <c r="N243">
        <v>170.4</v>
      </c>
      <c r="O243">
        <v>189.5</v>
      </c>
      <c r="P243">
        <v>178.3</v>
      </c>
      <c r="Q243">
        <v>196.9</v>
      </c>
      <c r="R243">
        <v>183.1</v>
      </c>
      <c r="S243">
        <v>176.2</v>
      </c>
      <c r="T243">
        <v>182.1</v>
      </c>
      <c r="U243">
        <v>171.8</v>
      </c>
      <c r="V243">
        <v>181.3</v>
      </c>
      <c r="W243">
        <v>171.4</v>
      </c>
      <c r="X243">
        <v>179.8</v>
      </c>
      <c r="Y243">
        <v>163</v>
      </c>
      <c r="Z243">
        <v>168.5</v>
      </c>
      <c r="AA243">
        <v>173.7</v>
      </c>
      <c r="AB243">
        <v>173.6</v>
      </c>
      <c r="AC243">
        <v>171.1</v>
      </c>
      <c r="AD243">
        <v>176.5</v>
      </c>
    </row>
    <row r="244" spans="1:30" x14ac:dyDescent="0.25">
      <c r="A244" t="s">
        <v>34</v>
      </c>
      <c r="B244">
        <v>2022</v>
      </c>
      <c r="C244" t="s">
        <v>46</v>
      </c>
      <c r="D244">
        <v>169.2</v>
      </c>
      <c r="E244">
        <v>209</v>
      </c>
      <c r="F244">
        <v>190.2</v>
      </c>
      <c r="G244">
        <v>173.6</v>
      </c>
      <c r="H244">
        <v>188.5</v>
      </c>
      <c r="I244">
        <v>158</v>
      </c>
      <c r="J244">
        <v>159.9</v>
      </c>
      <c r="K244">
        <v>170.8</v>
      </c>
      <c r="L244">
        <v>121.8</v>
      </c>
      <c r="M244">
        <v>205.2</v>
      </c>
      <c r="N244">
        <v>171</v>
      </c>
      <c r="O244">
        <v>190.3</v>
      </c>
      <c r="P244">
        <v>175.9</v>
      </c>
      <c r="Q244">
        <v>197.3</v>
      </c>
      <c r="R244">
        <v>184</v>
      </c>
      <c r="S244">
        <v>177</v>
      </c>
      <c r="T244">
        <v>183</v>
      </c>
      <c r="U244">
        <v>170.7</v>
      </c>
      <c r="V244">
        <v>182</v>
      </c>
      <c r="W244">
        <v>172.1</v>
      </c>
      <c r="X244">
        <v>181.1</v>
      </c>
      <c r="Y244">
        <v>163.4</v>
      </c>
      <c r="Z244">
        <v>168.9</v>
      </c>
      <c r="AA244">
        <v>174.1</v>
      </c>
      <c r="AB244">
        <v>175.8</v>
      </c>
      <c r="AC244">
        <v>172</v>
      </c>
      <c r="AD244">
        <v>175.7</v>
      </c>
    </row>
    <row r="245" spans="1:30" x14ac:dyDescent="0.25">
      <c r="A245" t="s">
        <v>34</v>
      </c>
      <c r="B245">
        <v>2023</v>
      </c>
      <c r="C245" t="s">
        <v>31</v>
      </c>
      <c r="D245">
        <v>173.8</v>
      </c>
      <c r="E245">
        <v>210.7</v>
      </c>
      <c r="F245">
        <v>194.5</v>
      </c>
      <c r="G245">
        <v>174.6</v>
      </c>
      <c r="H245">
        <v>187.2</v>
      </c>
      <c r="I245">
        <v>158.30000000000001</v>
      </c>
      <c r="J245">
        <v>153.9</v>
      </c>
      <c r="K245">
        <v>170.9</v>
      </c>
      <c r="L245">
        <v>121.1</v>
      </c>
      <c r="M245">
        <v>208.4</v>
      </c>
      <c r="N245">
        <v>171.4</v>
      </c>
      <c r="O245">
        <v>191.2</v>
      </c>
      <c r="P245">
        <v>176.7</v>
      </c>
      <c r="Q245">
        <v>198.2</v>
      </c>
      <c r="R245">
        <v>184.9</v>
      </c>
      <c r="S245">
        <v>177.6</v>
      </c>
      <c r="T245">
        <v>183.8</v>
      </c>
      <c r="U245">
        <v>172.1</v>
      </c>
      <c r="V245">
        <v>182</v>
      </c>
      <c r="W245">
        <v>172.9</v>
      </c>
      <c r="X245">
        <v>182.3</v>
      </c>
      <c r="Y245">
        <v>163.6</v>
      </c>
      <c r="Z245">
        <v>169.5</v>
      </c>
      <c r="AA245">
        <v>174.3</v>
      </c>
      <c r="AB245">
        <v>178.6</v>
      </c>
      <c r="AC245">
        <v>172.8</v>
      </c>
      <c r="AD245">
        <v>176.5</v>
      </c>
    </row>
    <row r="246" spans="1:30" x14ac:dyDescent="0.25">
      <c r="A246" t="s">
        <v>34</v>
      </c>
      <c r="B246">
        <v>2023</v>
      </c>
      <c r="C246" t="s">
        <v>35</v>
      </c>
      <c r="D246">
        <v>174.4</v>
      </c>
      <c r="E246">
        <v>207.7</v>
      </c>
      <c r="F246">
        <v>175.2</v>
      </c>
      <c r="G246">
        <v>177.3</v>
      </c>
      <c r="H246">
        <v>179.3</v>
      </c>
      <c r="I246">
        <v>169.5</v>
      </c>
      <c r="J246">
        <v>152.69999999999999</v>
      </c>
      <c r="K246">
        <v>171</v>
      </c>
      <c r="L246">
        <v>120</v>
      </c>
      <c r="M246">
        <v>209.7</v>
      </c>
      <c r="N246">
        <v>172.3</v>
      </c>
      <c r="O246">
        <v>193</v>
      </c>
      <c r="P246">
        <v>177</v>
      </c>
      <c r="Q246">
        <v>199.5</v>
      </c>
      <c r="R246">
        <v>186.2</v>
      </c>
      <c r="S246">
        <v>178.7</v>
      </c>
      <c r="T246">
        <v>185.1</v>
      </c>
      <c r="U246">
        <v>173.5</v>
      </c>
      <c r="V246">
        <v>182.1</v>
      </c>
      <c r="W246">
        <v>174.2</v>
      </c>
      <c r="X246">
        <v>184.4</v>
      </c>
      <c r="Y246">
        <v>164.2</v>
      </c>
      <c r="Z246">
        <v>170.3</v>
      </c>
      <c r="AA246">
        <v>175</v>
      </c>
      <c r="AB246">
        <v>181</v>
      </c>
      <c r="AC246">
        <v>174.1</v>
      </c>
      <c r="AD246">
        <v>177.2</v>
      </c>
    </row>
    <row r="247" spans="1:30" x14ac:dyDescent="0.25">
      <c r="A247" t="s">
        <v>34</v>
      </c>
      <c r="B247">
        <v>2023</v>
      </c>
      <c r="C247" t="s">
        <v>36</v>
      </c>
      <c r="D247">
        <v>174.4</v>
      </c>
      <c r="E247">
        <v>207.7</v>
      </c>
      <c r="F247">
        <v>175.2</v>
      </c>
      <c r="G247">
        <v>177.3</v>
      </c>
      <c r="H247">
        <v>179.2</v>
      </c>
      <c r="I247">
        <v>169.5</v>
      </c>
      <c r="J247">
        <v>152.80000000000001</v>
      </c>
      <c r="K247">
        <v>171.1</v>
      </c>
      <c r="L247">
        <v>120</v>
      </c>
      <c r="M247">
        <v>209.7</v>
      </c>
      <c r="N247">
        <v>172.3</v>
      </c>
      <c r="O247">
        <v>193</v>
      </c>
      <c r="P247">
        <v>177</v>
      </c>
      <c r="Q247">
        <v>199.5</v>
      </c>
      <c r="R247">
        <v>186.1</v>
      </c>
      <c r="S247">
        <v>178.7</v>
      </c>
      <c r="T247">
        <v>185.1</v>
      </c>
      <c r="U247">
        <v>173.5</v>
      </c>
      <c r="V247">
        <v>181.9</v>
      </c>
      <c r="W247">
        <v>174.2</v>
      </c>
      <c r="X247">
        <v>184.4</v>
      </c>
      <c r="Y247">
        <v>164.2</v>
      </c>
      <c r="Z247">
        <v>170.3</v>
      </c>
      <c r="AA247">
        <v>175</v>
      </c>
      <c r="AB247">
        <v>181</v>
      </c>
      <c r="AC247">
        <v>174.1</v>
      </c>
      <c r="AD247">
        <v>177.2</v>
      </c>
    </row>
    <row r="248" spans="1:30" x14ac:dyDescent="0.25">
      <c r="A248" t="s">
        <v>34</v>
      </c>
      <c r="B248">
        <v>2023</v>
      </c>
      <c r="C248" t="s">
        <v>37</v>
      </c>
      <c r="D248">
        <v>173.8</v>
      </c>
      <c r="E248">
        <v>209.3</v>
      </c>
      <c r="F248">
        <v>169.6</v>
      </c>
      <c r="G248">
        <v>178.4</v>
      </c>
      <c r="H248">
        <v>174.9</v>
      </c>
      <c r="I248">
        <v>176.3</v>
      </c>
      <c r="J248">
        <v>155.4</v>
      </c>
      <c r="K248">
        <v>173.4</v>
      </c>
      <c r="L248">
        <v>121.3</v>
      </c>
      <c r="M248">
        <v>212.9</v>
      </c>
      <c r="N248">
        <v>172.9</v>
      </c>
      <c r="O248">
        <v>193.5</v>
      </c>
      <c r="P248">
        <v>177.9</v>
      </c>
      <c r="Q248">
        <v>200.6</v>
      </c>
      <c r="R248">
        <v>186.9</v>
      </c>
      <c r="S248">
        <v>179.2</v>
      </c>
      <c r="T248">
        <v>185.7</v>
      </c>
      <c r="U248">
        <v>175.2</v>
      </c>
      <c r="V248">
        <v>181.7</v>
      </c>
      <c r="W248">
        <v>174.6</v>
      </c>
      <c r="X248">
        <v>185</v>
      </c>
      <c r="Y248">
        <v>164.5</v>
      </c>
      <c r="Z248">
        <v>170.7</v>
      </c>
      <c r="AA248">
        <v>176.4</v>
      </c>
      <c r="AB248">
        <v>184</v>
      </c>
      <c r="AC248">
        <v>175</v>
      </c>
      <c r="AD248">
        <v>178.1</v>
      </c>
    </row>
    <row r="249" spans="1:30" x14ac:dyDescent="0.25">
      <c r="A249" t="s">
        <v>34</v>
      </c>
      <c r="B249">
        <v>2023</v>
      </c>
      <c r="C249" t="s">
        <v>38</v>
      </c>
      <c r="D249">
        <v>173.7</v>
      </c>
      <c r="E249">
        <v>214.3</v>
      </c>
      <c r="F249">
        <v>173.2</v>
      </c>
      <c r="G249">
        <v>179.5</v>
      </c>
      <c r="H249">
        <v>170</v>
      </c>
      <c r="I249">
        <v>172.2</v>
      </c>
      <c r="J249">
        <v>161</v>
      </c>
      <c r="K249">
        <v>175.6</v>
      </c>
      <c r="L249">
        <v>122.7</v>
      </c>
      <c r="M249">
        <v>218</v>
      </c>
      <c r="N249">
        <v>173.4</v>
      </c>
      <c r="O249">
        <v>194.2</v>
      </c>
      <c r="P249">
        <v>179.1</v>
      </c>
      <c r="Q249">
        <v>201</v>
      </c>
      <c r="R249">
        <v>187.3</v>
      </c>
      <c r="S249">
        <v>179.7</v>
      </c>
      <c r="T249">
        <v>186.2</v>
      </c>
      <c r="U249">
        <v>175.6</v>
      </c>
      <c r="V249">
        <v>182.8</v>
      </c>
      <c r="W249">
        <v>175.2</v>
      </c>
      <c r="X249">
        <v>185.7</v>
      </c>
      <c r="Y249">
        <v>164.8</v>
      </c>
      <c r="Z249">
        <v>171.2</v>
      </c>
      <c r="AA249">
        <v>177.1</v>
      </c>
      <c r="AB249">
        <v>185.2</v>
      </c>
      <c r="AC249">
        <v>175.7</v>
      </c>
      <c r="AD249">
        <v>179.1</v>
      </c>
    </row>
    <row r="250" spans="1:30" x14ac:dyDescent="0.25">
      <c r="A250" t="s">
        <v>33</v>
      </c>
      <c r="B250">
        <v>2013</v>
      </c>
      <c r="C250" t="s">
        <v>31</v>
      </c>
      <c r="D250">
        <v>110.5</v>
      </c>
      <c r="E250">
        <v>109.1</v>
      </c>
      <c r="F250">
        <v>113</v>
      </c>
      <c r="G250">
        <v>103.6</v>
      </c>
      <c r="H250">
        <v>103.4</v>
      </c>
      <c r="I250">
        <v>102.3</v>
      </c>
      <c r="J250">
        <v>102.9</v>
      </c>
      <c r="K250">
        <v>105.8</v>
      </c>
      <c r="L250">
        <v>105.1</v>
      </c>
      <c r="M250">
        <v>101.8</v>
      </c>
      <c r="N250">
        <v>105.1</v>
      </c>
      <c r="O250">
        <v>107.9</v>
      </c>
      <c r="P250">
        <v>105.9</v>
      </c>
      <c r="Q250">
        <v>105.2</v>
      </c>
      <c r="R250">
        <v>105.9</v>
      </c>
      <c r="S250">
        <v>105</v>
      </c>
      <c r="T250">
        <v>105.8</v>
      </c>
      <c r="U250">
        <v>100.3</v>
      </c>
      <c r="V250">
        <v>105.4</v>
      </c>
      <c r="W250">
        <v>104.8</v>
      </c>
      <c r="X250">
        <v>104.1</v>
      </c>
      <c r="Y250">
        <v>103.2</v>
      </c>
      <c r="Z250">
        <v>102.9</v>
      </c>
      <c r="AA250">
        <v>103.5</v>
      </c>
      <c r="AB250">
        <v>104.3</v>
      </c>
      <c r="AC250">
        <v>103.7</v>
      </c>
      <c r="AD250">
        <v>104</v>
      </c>
    </row>
    <row r="251" spans="1:30" x14ac:dyDescent="0.25">
      <c r="A251" t="s">
        <v>33</v>
      </c>
      <c r="B251">
        <v>2013</v>
      </c>
      <c r="C251" t="s">
        <v>35</v>
      </c>
      <c r="D251">
        <v>112.9</v>
      </c>
      <c r="E251">
        <v>112.9</v>
      </c>
      <c r="F251">
        <v>116.9</v>
      </c>
      <c r="G251">
        <v>104</v>
      </c>
      <c r="H251">
        <v>103.5</v>
      </c>
      <c r="I251">
        <v>103.1</v>
      </c>
      <c r="J251">
        <v>104.9</v>
      </c>
      <c r="K251">
        <v>104.1</v>
      </c>
      <c r="L251">
        <v>103.8</v>
      </c>
      <c r="M251">
        <v>102.3</v>
      </c>
      <c r="N251">
        <v>106</v>
      </c>
      <c r="O251">
        <v>109</v>
      </c>
      <c r="P251">
        <v>107.2</v>
      </c>
      <c r="Q251">
        <v>106</v>
      </c>
      <c r="R251">
        <v>106.6</v>
      </c>
      <c r="S251">
        <v>105.5</v>
      </c>
      <c r="T251">
        <v>106.4</v>
      </c>
      <c r="U251">
        <v>100.4</v>
      </c>
      <c r="V251">
        <v>105.7</v>
      </c>
      <c r="W251">
        <v>105.2</v>
      </c>
      <c r="X251">
        <v>104.7</v>
      </c>
      <c r="Y251">
        <v>104.4</v>
      </c>
      <c r="Z251">
        <v>103.3</v>
      </c>
      <c r="AA251">
        <v>103.7</v>
      </c>
      <c r="AB251">
        <v>104.3</v>
      </c>
      <c r="AC251">
        <v>104.3</v>
      </c>
      <c r="AD251">
        <v>104.7</v>
      </c>
    </row>
    <row r="252" spans="1:30" x14ac:dyDescent="0.25">
      <c r="A252" t="s">
        <v>33</v>
      </c>
      <c r="B252">
        <v>2013</v>
      </c>
      <c r="C252" t="s">
        <v>36</v>
      </c>
      <c r="D252">
        <v>113.9</v>
      </c>
      <c r="E252">
        <v>111.4</v>
      </c>
      <c r="F252">
        <v>113.2</v>
      </c>
      <c r="G252">
        <v>104.3</v>
      </c>
      <c r="H252">
        <v>102.7</v>
      </c>
      <c r="I252">
        <v>104.9</v>
      </c>
      <c r="J252">
        <v>103.8</v>
      </c>
      <c r="K252">
        <v>103.5</v>
      </c>
      <c r="L252">
        <v>102.6</v>
      </c>
      <c r="M252">
        <v>102.4</v>
      </c>
      <c r="N252">
        <v>107</v>
      </c>
      <c r="O252">
        <v>109.8</v>
      </c>
      <c r="P252">
        <v>107.3</v>
      </c>
      <c r="Q252">
        <v>106.8</v>
      </c>
      <c r="R252">
        <v>107.2</v>
      </c>
      <c r="S252">
        <v>106</v>
      </c>
      <c r="T252">
        <v>107</v>
      </c>
      <c r="U252">
        <v>100.4</v>
      </c>
      <c r="V252">
        <v>106</v>
      </c>
      <c r="W252">
        <v>105.7</v>
      </c>
      <c r="X252">
        <v>105.2</v>
      </c>
      <c r="Y252">
        <v>105.5</v>
      </c>
      <c r="Z252">
        <v>103.5</v>
      </c>
      <c r="AA252">
        <v>103.8</v>
      </c>
      <c r="AB252">
        <v>104.2</v>
      </c>
      <c r="AC252">
        <v>104.9</v>
      </c>
      <c r="AD252">
        <v>105</v>
      </c>
    </row>
    <row r="253" spans="1:30" x14ac:dyDescent="0.25">
      <c r="A253" t="s">
        <v>33</v>
      </c>
      <c r="B253">
        <v>2013</v>
      </c>
      <c r="C253" t="s">
        <v>37</v>
      </c>
      <c r="D253">
        <v>114.6</v>
      </c>
      <c r="E253">
        <v>113.4</v>
      </c>
      <c r="F253">
        <v>106</v>
      </c>
      <c r="G253">
        <v>104.7</v>
      </c>
      <c r="H253">
        <v>102.1</v>
      </c>
      <c r="I253">
        <v>109.5</v>
      </c>
      <c r="J253">
        <v>109.7</v>
      </c>
      <c r="K253">
        <v>104.6</v>
      </c>
      <c r="L253">
        <v>102</v>
      </c>
      <c r="M253">
        <v>103.5</v>
      </c>
      <c r="N253">
        <v>108.2</v>
      </c>
      <c r="O253">
        <v>110.6</v>
      </c>
      <c r="P253">
        <v>108.8</v>
      </c>
      <c r="Q253">
        <v>108.5</v>
      </c>
      <c r="R253">
        <v>107.9</v>
      </c>
      <c r="S253">
        <v>106.4</v>
      </c>
      <c r="T253">
        <v>107.7</v>
      </c>
      <c r="U253">
        <v>100.5</v>
      </c>
      <c r="V253">
        <v>106.4</v>
      </c>
      <c r="W253">
        <v>106.5</v>
      </c>
      <c r="X253">
        <v>105.7</v>
      </c>
      <c r="Y253">
        <v>105</v>
      </c>
      <c r="Z253">
        <v>104</v>
      </c>
      <c r="AA253">
        <v>105.2</v>
      </c>
      <c r="AB253">
        <v>103.2</v>
      </c>
      <c r="AC253">
        <v>105.1</v>
      </c>
      <c r="AD253">
        <v>105.7</v>
      </c>
    </row>
    <row r="254" spans="1:30" x14ac:dyDescent="0.25">
      <c r="A254" t="s">
        <v>33</v>
      </c>
      <c r="B254">
        <v>2013</v>
      </c>
      <c r="C254" t="s">
        <v>38</v>
      </c>
      <c r="D254">
        <v>115.4</v>
      </c>
      <c r="E254">
        <v>114.2</v>
      </c>
      <c r="F254">
        <v>102.7</v>
      </c>
      <c r="G254">
        <v>105.5</v>
      </c>
      <c r="H254">
        <v>101.5</v>
      </c>
      <c r="I254">
        <v>110.6</v>
      </c>
      <c r="J254">
        <v>123.7</v>
      </c>
      <c r="K254">
        <v>105.2</v>
      </c>
      <c r="L254">
        <v>101.9</v>
      </c>
      <c r="M254">
        <v>105</v>
      </c>
      <c r="N254">
        <v>109.1</v>
      </c>
      <c r="O254">
        <v>111.3</v>
      </c>
      <c r="P254">
        <v>111.1</v>
      </c>
      <c r="Q254">
        <v>109.8</v>
      </c>
      <c r="R254">
        <v>108.5</v>
      </c>
      <c r="S254">
        <v>106.7</v>
      </c>
      <c r="T254">
        <v>108.3</v>
      </c>
      <c r="U254">
        <v>100.5</v>
      </c>
      <c r="V254">
        <v>107.2</v>
      </c>
      <c r="W254">
        <v>107.1</v>
      </c>
      <c r="X254">
        <v>106.2</v>
      </c>
      <c r="Y254">
        <v>103.9</v>
      </c>
      <c r="Z254">
        <v>104.6</v>
      </c>
      <c r="AA254">
        <v>105.7</v>
      </c>
      <c r="AB254">
        <v>102.6</v>
      </c>
      <c r="AC254">
        <v>104.9</v>
      </c>
      <c r="AD254">
        <v>106.6</v>
      </c>
    </row>
    <row r="255" spans="1:30" x14ac:dyDescent="0.25">
      <c r="A255" t="s">
        <v>33</v>
      </c>
      <c r="B255">
        <v>2013</v>
      </c>
      <c r="C255" t="s">
        <v>39</v>
      </c>
      <c r="D255">
        <v>117</v>
      </c>
      <c r="E255">
        <v>120.1</v>
      </c>
      <c r="F255">
        <v>112.5</v>
      </c>
      <c r="G255">
        <v>107.3</v>
      </c>
      <c r="H255">
        <v>101.3</v>
      </c>
      <c r="I255">
        <v>112.4</v>
      </c>
      <c r="J255">
        <v>143.6</v>
      </c>
      <c r="K255">
        <v>105.4</v>
      </c>
      <c r="L255">
        <v>101.4</v>
      </c>
      <c r="M255">
        <v>106.4</v>
      </c>
      <c r="N255">
        <v>110</v>
      </c>
      <c r="O255">
        <v>112.2</v>
      </c>
      <c r="P255">
        <v>115</v>
      </c>
      <c r="Q255">
        <v>110.9</v>
      </c>
      <c r="R255">
        <v>109.2</v>
      </c>
      <c r="S255">
        <v>107.2</v>
      </c>
      <c r="T255">
        <v>108.9</v>
      </c>
      <c r="U255">
        <v>106.6</v>
      </c>
      <c r="V255">
        <v>108</v>
      </c>
      <c r="W255">
        <v>107.7</v>
      </c>
      <c r="X255">
        <v>106.5</v>
      </c>
      <c r="Y255">
        <v>105.2</v>
      </c>
      <c r="Z255">
        <v>105.2</v>
      </c>
      <c r="AA255">
        <v>108.1</v>
      </c>
      <c r="AB255">
        <v>103.3</v>
      </c>
      <c r="AC255">
        <v>106.1</v>
      </c>
      <c r="AD255">
        <v>109.7</v>
      </c>
    </row>
    <row r="256" spans="1:30" x14ac:dyDescent="0.25">
      <c r="A256" t="s">
        <v>33</v>
      </c>
      <c r="B256">
        <v>2013</v>
      </c>
      <c r="C256" t="s">
        <v>40</v>
      </c>
      <c r="D256">
        <v>117.8</v>
      </c>
      <c r="E256">
        <v>119.2</v>
      </c>
      <c r="F256">
        <v>114</v>
      </c>
      <c r="G256">
        <v>108.3</v>
      </c>
      <c r="H256">
        <v>101.1</v>
      </c>
      <c r="I256">
        <v>113.2</v>
      </c>
      <c r="J256">
        <v>160.9</v>
      </c>
      <c r="K256">
        <v>105.1</v>
      </c>
      <c r="L256">
        <v>101.3</v>
      </c>
      <c r="M256">
        <v>107.5</v>
      </c>
      <c r="N256">
        <v>110.4</v>
      </c>
      <c r="O256">
        <v>113.1</v>
      </c>
      <c r="P256">
        <v>117.5</v>
      </c>
      <c r="Q256">
        <v>111.7</v>
      </c>
      <c r="R256">
        <v>109.8</v>
      </c>
      <c r="S256">
        <v>107.8</v>
      </c>
      <c r="T256">
        <v>109.5</v>
      </c>
      <c r="U256">
        <v>107.7</v>
      </c>
      <c r="V256">
        <v>108.6</v>
      </c>
      <c r="W256">
        <v>108.1</v>
      </c>
      <c r="X256">
        <v>107.1</v>
      </c>
      <c r="Y256">
        <v>107.3</v>
      </c>
      <c r="Z256">
        <v>105.9</v>
      </c>
      <c r="AA256">
        <v>110.1</v>
      </c>
      <c r="AB256">
        <v>103.2</v>
      </c>
      <c r="AC256">
        <v>107.3</v>
      </c>
      <c r="AD256">
        <v>111.4</v>
      </c>
    </row>
    <row r="257" spans="1:30" x14ac:dyDescent="0.25">
      <c r="A257" t="s">
        <v>33</v>
      </c>
      <c r="B257">
        <v>2013</v>
      </c>
      <c r="C257" t="s">
        <v>41</v>
      </c>
      <c r="D257">
        <v>118.3</v>
      </c>
      <c r="E257">
        <v>120.4</v>
      </c>
      <c r="F257">
        <v>112.7</v>
      </c>
      <c r="G257">
        <v>108.9</v>
      </c>
      <c r="H257">
        <v>101.1</v>
      </c>
      <c r="I257">
        <v>108.7</v>
      </c>
      <c r="J257">
        <v>177</v>
      </c>
      <c r="K257">
        <v>104.7</v>
      </c>
      <c r="L257">
        <v>101</v>
      </c>
      <c r="M257">
        <v>108.5</v>
      </c>
      <c r="N257">
        <v>110.9</v>
      </c>
      <c r="O257">
        <v>114.3</v>
      </c>
      <c r="P257">
        <v>119.6</v>
      </c>
      <c r="Q257">
        <v>112.4</v>
      </c>
      <c r="R257">
        <v>110.6</v>
      </c>
      <c r="S257">
        <v>108.3</v>
      </c>
      <c r="T257">
        <v>110.2</v>
      </c>
      <c r="U257">
        <v>108.9</v>
      </c>
      <c r="V257">
        <v>109.3</v>
      </c>
      <c r="W257">
        <v>108.7</v>
      </c>
      <c r="X257">
        <v>107.6</v>
      </c>
      <c r="Y257">
        <v>108.1</v>
      </c>
      <c r="Z257">
        <v>106.5</v>
      </c>
      <c r="AA257">
        <v>110.8</v>
      </c>
      <c r="AB257">
        <v>106</v>
      </c>
      <c r="AC257">
        <v>108.3</v>
      </c>
      <c r="AD257">
        <v>112.7</v>
      </c>
    </row>
    <row r="258" spans="1:30" x14ac:dyDescent="0.25">
      <c r="A258" t="s">
        <v>33</v>
      </c>
      <c r="B258">
        <v>2013</v>
      </c>
      <c r="C258" t="s">
        <v>42</v>
      </c>
      <c r="D258">
        <v>118.6</v>
      </c>
      <c r="E258">
        <v>119.1</v>
      </c>
      <c r="F258">
        <v>113.2</v>
      </c>
      <c r="G258">
        <v>109.6</v>
      </c>
      <c r="H258">
        <v>101.7</v>
      </c>
      <c r="I258">
        <v>103.2</v>
      </c>
      <c r="J258">
        <v>174.3</v>
      </c>
      <c r="K258">
        <v>105.1</v>
      </c>
      <c r="L258">
        <v>100.8</v>
      </c>
      <c r="M258">
        <v>109.1</v>
      </c>
      <c r="N258">
        <v>111.1</v>
      </c>
      <c r="O258">
        <v>115.4</v>
      </c>
      <c r="P258">
        <v>119.2</v>
      </c>
      <c r="Q258">
        <v>112.9</v>
      </c>
      <c r="R258">
        <v>111.4</v>
      </c>
      <c r="S258">
        <v>109</v>
      </c>
      <c r="T258">
        <v>111.1</v>
      </c>
      <c r="U258">
        <v>109.7</v>
      </c>
      <c r="V258">
        <v>109.5</v>
      </c>
      <c r="W258">
        <v>109.6</v>
      </c>
      <c r="X258">
        <v>107.9</v>
      </c>
      <c r="Y258">
        <v>110.4</v>
      </c>
      <c r="Z258">
        <v>107.4</v>
      </c>
      <c r="AA258">
        <v>111.2</v>
      </c>
      <c r="AB258">
        <v>106.9</v>
      </c>
      <c r="AC258">
        <v>109.4</v>
      </c>
      <c r="AD258">
        <v>113.2</v>
      </c>
    </row>
    <row r="259" spans="1:30" x14ac:dyDescent="0.25">
      <c r="A259" t="s">
        <v>33</v>
      </c>
      <c r="B259">
        <v>2013</v>
      </c>
      <c r="C259" t="s">
        <v>43</v>
      </c>
      <c r="D259">
        <v>118.9</v>
      </c>
      <c r="E259">
        <v>118.1</v>
      </c>
      <c r="F259">
        <v>114.5</v>
      </c>
      <c r="G259">
        <v>110.4</v>
      </c>
      <c r="H259">
        <v>102.3</v>
      </c>
      <c r="I259">
        <v>106.2</v>
      </c>
      <c r="J259">
        <v>183.5</v>
      </c>
      <c r="K259">
        <v>105.3</v>
      </c>
      <c r="L259">
        <v>100.2</v>
      </c>
      <c r="M259">
        <v>109.6</v>
      </c>
      <c r="N259">
        <v>111.4</v>
      </c>
      <c r="O259">
        <v>116</v>
      </c>
      <c r="P259">
        <v>120.8</v>
      </c>
      <c r="Q259">
        <v>113.5</v>
      </c>
      <c r="R259">
        <v>112.5</v>
      </c>
      <c r="S259">
        <v>109.7</v>
      </c>
      <c r="T259">
        <v>112</v>
      </c>
      <c r="U259">
        <v>110.5</v>
      </c>
      <c r="V259">
        <v>109.7</v>
      </c>
      <c r="W259">
        <v>110.2</v>
      </c>
      <c r="X259">
        <v>108.2</v>
      </c>
      <c r="Y259">
        <v>109.7</v>
      </c>
      <c r="Z259">
        <v>108</v>
      </c>
      <c r="AA259">
        <v>111.3</v>
      </c>
      <c r="AB259">
        <v>107.3</v>
      </c>
      <c r="AC259">
        <v>109.4</v>
      </c>
      <c r="AD259">
        <v>114</v>
      </c>
    </row>
    <row r="260" spans="1:30" x14ac:dyDescent="0.25">
      <c r="A260" t="s">
        <v>33</v>
      </c>
      <c r="B260">
        <v>2013</v>
      </c>
      <c r="C260" t="s">
        <v>45</v>
      </c>
      <c r="D260">
        <v>119.8</v>
      </c>
      <c r="E260">
        <v>116.3</v>
      </c>
      <c r="F260">
        <v>122.6</v>
      </c>
      <c r="G260">
        <v>112</v>
      </c>
      <c r="H260">
        <v>103.2</v>
      </c>
      <c r="I260">
        <v>110</v>
      </c>
      <c r="J260">
        <v>192.8</v>
      </c>
      <c r="K260">
        <v>106.3</v>
      </c>
      <c r="L260">
        <v>99.5</v>
      </c>
      <c r="M260">
        <v>110.3</v>
      </c>
      <c r="N260">
        <v>111.8</v>
      </c>
      <c r="O260">
        <v>117.1</v>
      </c>
      <c r="P260">
        <v>122.9</v>
      </c>
      <c r="Q260">
        <v>114.1</v>
      </c>
      <c r="R260">
        <v>113.5</v>
      </c>
      <c r="S260">
        <v>110.3</v>
      </c>
      <c r="T260">
        <v>113</v>
      </c>
      <c r="U260">
        <v>111.1</v>
      </c>
      <c r="V260">
        <v>110</v>
      </c>
      <c r="W260">
        <v>110.9</v>
      </c>
      <c r="X260">
        <v>108.6</v>
      </c>
      <c r="Y260">
        <v>109.5</v>
      </c>
      <c r="Z260">
        <v>108.5</v>
      </c>
      <c r="AA260">
        <v>111.3</v>
      </c>
      <c r="AB260">
        <v>107.9</v>
      </c>
      <c r="AC260">
        <v>109.6</v>
      </c>
      <c r="AD260">
        <v>115</v>
      </c>
    </row>
    <row r="261" spans="1:30" x14ac:dyDescent="0.25">
      <c r="A261" t="s">
        <v>33</v>
      </c>
      <c r="B261">
        <v>2013</v>
      </c>
      <c r="C261" t="s">
        <v>46</v>
      </c>
      <c r="D261">
        <v>120.5</v>
      </c>
      <c r="E261">
        <v>118.1</v>
      </c>
      <c r="F261">
        <v>128.5</v>
      </c>
      <c r="G261">
        <v>112.8</v>
      </c>
      <c r="H261">
        <v>103.4</v>
      </c>
      <c r="I261">
        <v>110.7</v>
      </c>
      <c r="J261">
        <v>144.80000000000001</v>
      </c>
      <c r="K261">
        <v>107.1</v>
      </c>
      <c r="L261">
        <v>98.6</v>
      </c>
      <c r="M261">
        <v>111.9</v>
      </c>
      <c r="N261">
        <v>112.1</v>
      </c>
      <c r="O261">
        <v>118.1</v>
      </c>
      <c r="P261">
        <v>117.8</v>
      </c>
      <c r="Q261">
        <v>115</v>
      </c>
      <c r="R261">
        <v>114.2</v>
      </c>
      <c r="S261">
        <v>110.9</v>
      </c>
      <c r="T261">
        <v>113.7</v>
      </c>
      <c r="U261">
        <v>110.7</v>
      </c>
      <c r="V261">
        <v>110.4</v>
      </c>
      <c r="W261">
        <v>111.3</v>
      </c>
      <c r="X261">
        <v>109</v>
      </c>
      <c r="Y261">
        <v>109.7</v>
      </c>
      <c r="Z261">
        <v>108.9</v>
      </c>
      <c r="AA261">
        <v>111.4</v>
      </c>
      <c r="AB261">
        <v>107.7</v>
      </c>
      <c r="AC261">
        <v>109.8</v>
      </c>
      <c r="AD261">
        <v>113.3</v>
      </c>
    </row>
    <row r="262" spans="1:30" x14ac:dyDescent="0.25">
      <c r="A262" t="s">
        <v>33</v>
      </c>
      <c r="B262">
        <v>2014</v>
      </c>
      <c r="C262" t="s">
        <v>31</v>
      </c>
      <c r="D262">
        <v>121.2</v>
      </c>
      <c r="E262">
        <v>122</v>
      </c>
      <c r="F262">
        <v>129.9</v>
      </c>
      <c r="G262">
        <v>113.6</v>
      </c>
      <c r="H262">
        <v>102.9</v>
      </c>
      <c r="I262">
        <v>112.1</v>
      </c>
      <c r="J262">
        <v>118.9</v>
      </c>
      <c r="K262">
        <v>107.5</v>
      </c>
      <c r="L262">
        <v>96.9</v>
      </c>
      <c r="M262">
        <v>112.7</v>
      </c>
      <c r="N262">
        <v>112.1</v>
      </c>
      <c r="O262">
        <v>119</v>
      </c>
      <c r="P262">
        <v>115.5</v>
      </c>
      <c r="Q262">
        <v>115.7</v>
      </c>
      <c r="R262">
        <v>114.8</v>
      </c>
      <c r="S262">
        <v>111.3</v>
      </c>
      <c r="T262">
        <v>114.3</v>
      </c>
      <c r="U262">
        <v>111.6</v>
      </c>
      <c r="V262">
        <v>111</v>
      </c>
      <c r="W262">
        <v>111.9</v>
      </c>
      <c r="X262">
        <v>109.7</v>
      </c>
      <c r="Y262">
        <v>110.8</v>
      </c>
      <c r="Z262">
        <v>109.8</v>
      </c>
      <c r="AA262">
        <v>111.5</v>
      </c>
      <c r="AB262">
        <v>108</v>
      </c>
      <c r="AC262">
        <v>110.5</v>
      </c>
      <c r="AD262">
        <v>112.9</v>
      </c>
    </row>
    <row r="263" spans="1:30" x14ac:dyDescent="0.25">
      <c r="A263" t="s">
        <v>33</v>
      </c>
      <c r="B263">
        <v>2014</v>
      </c>
      <c r="C263" t="s">
        <v>35</v>
      </c>
      <c r="D263">
        <v>121.9</v>
      </c>
      <c r="E263">
        <v>122</v>
      </c>
      <c r="F263">
        <v>124.5</v>
      </c>
      <c r="G263">
        <v>115.2</v>
      </c>
      <c r="H263">
        <v>102.5</v>
      </c>
      <c r="I263">
        <v>114.1</v>
      </c>
      <c r="J263">
        <v>111.5</v>
      </c>
      <c r="K263">
        <v>108.2</v>
      </c>
      <c r="L263">
        <v>95.4</v>
      </c>
      <c r="M263">
        <v>113.5</v>
      </c>
      <c r="N263">
        <v>112.1</v>
      </c>
      <c r="O263">
        <v>119.9</v>
      </c>
      <c r="P263">
        <v>115.2</v>
      </c>
      <c r="Q263">
        <v>116.2</v>
      </c>
      <c r="R263">
        <v>115.3</v>
      </c>
      <c r="S263">
        <v>111.7</v>
      </c>
      <c r="T263">
        <v>114.7</v>
      </c>
      <c r="U263">
        <v>112.5</v>
      </c>
      <c r="V263">
        <v>111.1</v>
      </c>
      <c r="W263">
        <v>112.6</v>
      </c>
      <c r="X263">
        <v>110.4</v>
      </c>
      <c r="Y263">
        <v>111.3</v>
      </c>
      <c r="Z263">
        <v>110.3</v>
      </c>
      <c r="AA263">
        <v>111.6</v>
      </c>
      <c r="AB263">
        <v>108.7</v>
      </c>
      <c r="AC263">
        <v>111</v>
      </c>
      <c r="AD263">
        <v>113.1</v>
      </c>
    </row>
    <row r="264" spans="1:30" x14ac:dyDescent="0.25">
      <c r="A264" t="s">
        <v>33</v>
      </c>
      <c r="B264">
        <v>2014</v>
      </c>
      <c r="C264" t="s">
        <v>36</v>
      </c>
      <c r="D264">
        <v>122.1</v>
      </c>
      <c r="E264">
        <v>121.4</v>
      </c>
      <c r="F264">
        <v>121.5</v>
      </c>
      <c r="G264">
        <v>116.2</v>
      </c>
      <c r="H264">
        <v>102.8</v>
      </c>
      <c r="I264">
        <v>117.7</v>
      </c>
      <c r="J264">
        <v>113.3</v>
      </c>
      <c r="K264">
        <v>108.9</v>
      </c>
      <c r="L264">
        <v>96.3</v>
      </c>
      <c r="M264">
        <v>114.1</v>
      </c>
      <c r="N264">
        <v>112.2</v>
      </c>
      <c r="O264">
        <v>120.5</v>
      </c>
      <c r="P264">
        <v>116</v>
      </c>
      <c r="Q264">
        <v>116.7</v>
      </c>
      <c r="R264">
        <v>115.8</v>
      </c>
      <c r="S264">
        <v>112.1</v>
      </c>
      <c r="T264">
        <v>115.2</v>
      </c>
      <c r="U264">
        <v>113.2</v>
      </c>
      <c r="V264">
        <v>110.9</v>
      </c>
      <c r="W264">
        <v>113</v>
      </c>
      <c r="X264">
        <v>110.8</v>
      </c>
      <c r="Y264">
        <v>111.6</v>
      </c>
      <c r="Z264">
        <v>110.9</v>
      </c>
      <c r="AA264">
        <v>111.8</v>
      </c>
      <c r="AB264">
        <v>109.2</v>
      </c>
      <c r="AC264">
        <v>111.4</v>
      </c>
      <c r="AD264">
        <v>113.7</v>
      </c>
    </row>
    <row r="265" spans="1:30" x14ac:dyDescent="0.25">
      <c r="A265" t="s">
        <v>33</v>
      </c>
      <c r="B265">
        <v>2014</v>
      </c>
      <c r="C265" t="s">
        <v>37</v>
      </c>
      <c r="D265">
        <v>122.5</v>
      </c>
      <c r="E265">
        <v>121.7</v>
      </c>
      <c r="F265">
        <v>113.3</v>
      </c>
      <c r="G265">
        <v>117</v>
      </c>
      <c r="H265">
        <v>103.1</v>
      </c>
      <c r="I265">
        <v>126.7</v>
      </c>
      <c r="J265">
        <v>121.2</v>
      </c>
      <c r="K265">
        <v>111</v>
      </c>
      <c r="L265">
        <v>100.3</v>
      </c>
      <c r="M265">
        <v>115.3</v>
      </c>
      <c r="N265">
        <v>112.7</v>
      </c>
      <c r="O265">
        <v>121</v>
      </c>
      <c r="P265">
        <v>118.2</v>
      </c>
      <c r="Q265">
        <v>117.6</v>
      </c>
      <c r="R265">
        <v>116.3</v>
      </c>
      <c r="S265">
        <v>112.5</v>
      </c>
      <c r="T265">
        <v>115.7</v>
      </c>
      <c r="U265">
        <v>113.9</v>
      </c>
      <c r="V265">
        <v>110.9</v>
      </c>
      <c r="W265">
        <v>113.4</v>
      </c>
      <c r="X265">
        <v>111</v>
      </c>
      <c r="Y265">
        <v>111.2</v>
      </c>
      <c r="Z265">
        <v>111.2</v>
      </c>
      <c r="AA265">
        <v>112.5</v>
      </c>
      <c r="AB265">
        <v>109.1</v>
      </c>
      <c r="AC265">
        <v>111.4</v>
      </c>
      <c r="AD265">
        <v>114.7</v>
      </c>
    </row>
    <row r="266" spans="1:30" x14ac:dyDescent="0.25">
      <c r="A266" t="s">
        <v>33</v>
      </c>
      <c r="B266">
        <v>2014</v>
      </c>
      <c r="C266" t="s">
        <v>38</v>
      </c>
      <c r="D266">
        <v>122.7</v>
      </c>
      <c r="E266">
        <v>124.1</v>
      </c>
      <c r="F266">
        <v>114.2</v>
      </c>
      <c r="G266">
        <v>119.1</v>
      </c>
      <c r="H266">
        <v>103.5</v>
      </c>
      <c r="I266">
        <v>129.19999999999999</v>
      </c>
      <c r="J266">
        <v>127</v>
      </c>
      <c r="K266">
        <v>112.6</v>
      </c>
      <c r="L266">
        <v>101.3</v>
      </c>
      <c r="M266">
        <v>117</v>
      </c>
      <c r="N266">
        <v>112.9</v>
      </c>
      <c r="O266">
        <v>121.7</v>
      </c>
      <c r="P266">
        <v>120</v>
      </c>
      <c r="Q266">
        <v>118.3</v>
      </c>
      <c r="R266">
        <v>116.8</v>
      </c>
      <c r="S266">
        <v>112.9</v>
      </c>
      <c r="T266">
        <v>116.2</v>
      </c>
      <c r="U266">
        <v>114.3</v>
      </c>
      <c r="V266">
        <v>111.1</v>
      </c>
      <c r="W266">
        <v>114.1</v>
      </c>
      <c r="X266">
        <v>111.2</v>
      </c>
      <c r="Y266">
        <v>111.3</v>
      </c>
      <c r="Z266">
        <v>111.5</v>
      </c>
      <c r="AA266">
        <v>112.9</v>
      </c>
      <c r="AB266">
        <v>109.3</v>
      </c>
      <c r="AC266">
        <v>111.7</v>
      </c>
      <c r="AD266">
        <v>115.6</v>
      </c>
    </row>
    <row r="267" spans="1:30" x14ac:dyDescent="0.25">
      <c r="A267" t="s">
        <v>33</v>
      </c>
      <c r="B267">
        <v>2014</v>
      </c>
      <c r="C267" t="s">
        <v>39</v>
      </c>
      <c r="D267">
        <v>123.1</v>
      </c>
      <c r="E267">
        <v>125.9</v>
      </c>
      <c r="F267">
        <v>115.4</v>
      </c>
      <c r="G267">
        <v>120.4</v>
      </c>
      <c r="H267">
        <v>103.4</v>
      </c>
      <c r="I267">
        <v>131.19999999999999</v>
      </c>
      <c r="J267">
        <v>137.5</v>
      </c>
      <c r="K267">
        <v>112.8</v>
      </c>
      <c r="L267">
        <v>101.4</v>
      </c>
      <c r="M267">
        <v>118.3</v>
      </c>
      <c r="N267">
        <v>113.2</v>
      </c>
      <c r="O267">
        <v>122.4</v>
      </c>
      <c r="P267">
        <v>122</v>
      </c>
      <c r="Q267">
        <v>119</v>
      </c>
      <c r="R267">
        <v>117.4</v>
      </c>
      <c r="S267">
        <v>113.2</v>
      </c>
      <c r="T267">
        <v>116.7</v>
      </c>
      <c r="U267">
        <v>113.9</v>
      </c>
      <c r="V267">
        <v>111.2</v>
      </c>
      <c r="W267">
        <v>114.3</v>
      </c>
      <c r="X267">
        <v>111.4</v>
      </c>
      <c r="Y267">
        <v>111.5</v>
      </c>
      <c r="Z267">
        <v>111.8</v>
      </c>
      <c r="AA267">
        <v>115.1</v>
      </c>
      <c r="AB267">
        <v>108.7</v>
      </c>
      <c r="AC267">
        <v>112.2</v>
      </c>
      <c r="AD267">
        <v>116.4</v>
      </c>
    </row>
    <row r="268" spans="1:30" x14ac:dyDescent="0.25">
      <c r="A268" t="s">
        <v>33</v>
      </c>
      <c r="B268">
        <v>2014</v>
      </c>
      <c r="C268" t="s">
        <v>40</v>
      </c>
      <c r="D268">
        <v>123.8</v>
      </c>
      <c r="E268">
        <v>126.4</v>
      </c>
      <c r="F268">
        <v>118</v>
      </c>
      <c r="G268">
        <v>121.6</v>
      </c>
      <c r="H268">
        <v>103.5</v>
      </c>
      <c r="I268">
        <v>133.69999999999999</v>
      </c>
      <c r="J268">
        <v>172.4</v>
      </c>
      <c r="K268">
        <v>113.1</v>
      </c>
      <c r="L268">
        <v>102.7</v>
      </c>
      <c r="M268">
        <v>120</v>
      </c>
      <c r="N268">
        <v>113.8</v>
      </c>
      <c r="O268">
        <v>123.4</v>
      </c>
      <c r="P268">
        <v>127.1</v>
      </c>
      <c r="Q268">
        <v>121</v>
      </c>
      <c r="R268">
        <v>118</v>
      </c>
      <c r="S268">
        <v>113.6</v>
      </c>
      <c r="T268">
        <v>117.4</v>
      </c>
      <c r="U268">
        <v>114.8</v>
      </c>
      <c r="V268">
        <v>111.6</v>
      </c>
      <c r="W268">
        <v>114.9</v>
      </c>
      <c r="X268">
        <v>111.5</v>
      </c>
      <c r="Y268">
        <v>113</v>
      </c>
      <c r="Z268">
        <v>112.4</v>
      </c>
      <c r="AA268">
        <v>117.8</v>
      </c>
      <c r="AB268">
        <v>109.7</v>
      </c>
      <c r="AC268">
        <v>113.5</v>
      </c>
      <c r="AD268">
        <v>118.9</v>
      </c>
    </row>
    <row r="269" spans="1:30" x14ac:dyDescent="0.25">
      <c r="A269" t="s">
        <v>33</v>
      </c>
      <c r="B269">
        <v>2014</v>
      </c>
      <c r="C269" t="s">
        <v>41</v>
      </c>
      <c r="D269">
        <v>124.8</v>
      </c>
      <c r="E269">
        <v>127.3</v>
      </c>
      <c r="F269">
        <v>116.5</v>
      </c>
      <c r="G269">
        <v>122.2</v>
      </c>
      <c r="H269">
        <v>103.6</v>
      </c>
      <c r="I269">
        <v>132.69999999999999</v>
      </c>
      <c r="J269">
        <v>181.9</v>
      </c>
      <c r="K269">
        <v>115.2</v>
      </c>
      <c r="L269">
        <v>102.7</v>
      </c>
      <c r="M269">
        <v>122.1</v>
      </c>
      <c r="N269">
        <v>114.4</v>
      </c>
      <c r="O269">
        <v>124.7</v>
      </c>
      <c r="P269">
        <v>128.9</v>
      </c>
      <c r="Q269">
        <v>123</v>
      </c>
      <c r="R269">
        <v>118.6</v>
      </c>
      <c r="S269">
        <v>114.1</v>
      </c>
      <c r="T269">
        <v>117.9</v>
      </c>
      <c r="U269">
        <v>115.5</v>
      </c>
      <c r="V269">
        <v>111.8</v>
      </c>
      <c r="W269">
        <v>115.3</v>
      </c>
      <c r="X269">
        <v>112.2</v>
      </c>
      <c r="Y269">
        <v>112.5</v>
      </c>
      <c r="Z269">
        <v>112.9</v>
      </c>
      <c r="AA269">
        <v>119.2</v>
      </c>
      <c r="AB269">
        <v>110.5</v>
      </c>
      <c r="AC269">
        <v>113.9</v>
      </c>
      <c r="AD269">
        <v>119.9</v>
      </c>
    </row>
    <row r="270" spans="1:30" x14ac:dyDescent="0.25">
      <c r="A270" t="s">
        <v>33</v>
      </c>
      <c r="B270">
        <v>2014</v>
      </c>
      <c r="C270" t="s">
        <v>42</v>
      </c>
      <c r="D270">
        <v>124.2</v>
      </c>
      <c r="E270">
        <v>125.4</v>
      </c>
      <c r="F270">
        <v>116.4</v>
      </c>
      <c r="G270">
        <v>122.7</v>
      </c>
      <c r="H270">
        <v>103.5</v>
      </c>
      <c r="I270">
        <v>124.5</v>
      </c>
      <c r="J270">
        <v>168.6</v>
      </c>
      <c r="K270">
        <v>116.9</v>
      </c>
      <c r="L270">
        <v>101.9</v>
      </c>
      <c r="M270">
        <v>122.9</v>
      </c>
      <c r="N270">
        <v>114.8</v>
      </c>
      <c r="O270">
        <v>125.2</v>
      </c>
      <c r="P270">
        <v>126.7</v>
      </c>
      <c r="Q270">
        <v>124.3</v>
      </c>
      <c r="R270">
        <v>119.2</v>
      </c>
      <c r="S270">
        <v>114.5</v>
      </c>
      <c r="T270">
        <v>118.4</v>
      </c>
      <c r="U270">
        <v>116.1</v>
      </c>
      <c r="V270">
        <v>111.8</v>
      </c>
      <c r="W270">
        <v>115.5</v>
      </c>
      <c r="X270">
        <v>112.3</v>
      </c>
      <c r="Y270">
        <v>111.2</v>
      </c>
      <c r="Z270">
        <v>113.4</v>
      </c>
      <c r="AA270">
        <v>120</v>
      </c>
      <c r="AB270">
        <v>110</v>
      </c>
      <c r="AC270">
        <v>113.6</v>
      </c>
      <c r="AD270">
        <v>119.2</v>
      </c>
    </row>
    <row r="271" spans="1:30" x14ac:dyDescent="0.25">
      <c r="A271" t="s">
        <v>33</v>
      </c>
      <c r="B271">
        <v>2014</v>
      </c>
      <c r="C271" t="s">
        <v>43</v>
      </c>
      <c r="D271">
        <v>124.6</v>
      </c>
      <c r="E271">
        <v>126.1</v>
      </c>
      <c r="F271">
        <v>117.8</v>
      </c>
      <c r="G271">
        <v>123.1</v>
      </c>
      <c r="H271">
        <v>103.5</v>
      </c>
      <c r="I271">
        <v>123.5</v>
      </c>
      <c r="J271">
        <v>159.6</v>
      </c>
      <c r="K271">
        <v>117.4</v>
      </c>
      <c r="L271">
        <v>101.2</v>
      </c>
      <c r="M271">
        <v>123.8</v>
      </c>
      <c r="N271">
        <v>115.2</v>
      </c>
      <c r="O271">
        <v>125.9</v>
      </c>
      <c r="P271">
        <v>125.8</v>
      </c>
      <c r="Q271">
        <v>124.3</v>
      </c>
      <c r="R271">
        <v>119.6</v>
      </c>
      <c r="S271">
        <v>114.9</v>
      </c>
      <c r="T271">
        <v>118.9</v>
      </c>
      <c r="U271">
        <v>116.7</v>
      </c>
      <c r="V271">
        <v>112</v>
      </c>
      <c r="W271">
        <v>115.8</v>
      </c>
      <c r="X271">
        <v>112.6</v>
      </c>
      <c r="Y271">
        <v>111</v>
      </c>
      <c r="Z271">
        <v>113.6</v>
      </c>
      <c r="AA271">
        <v>120.2</v>
      </c>
      <c r="AB271">
        <v>110.1</v>
      </c>
      <c r="AC271">
        <v>113.7</v>
      </c>
      <c r="AD271">
        <v>119.1</v>
      </c>
    </row>
    <row r="272" spans="1:30" x14ac:dyDescent="0.25">
      <c r="A272" t="s">
        <v>33</v>
      </c>
      <c r="B272">
        <v>2014</v>
      </c>
      <c r="C272" t="s">
        <v>45</v>
      </c>
      <c r="D272">
        <v>124.5</v>
      </c>
      <c r="E272">
        <v>125.6</v>
      </c>
      <c r="F272">
        <v>122.7</v>
      </c>
      <c r="G272">
        <v>124.6</v>
      </c>
      <c r="H272">
        <v>103.2</v>
      </c>
      <c r="I272">
        <v>122.2</v>
      </c>
      <c r="J272">
        <v>153.19999999999999</v>
      </c>
      <c r="K272">
        <v>119.3</v>
      </c>
      <c r="L272">
        <v>99.8</v>
      </c>
      <c r="M272">
        <v>124.6</v>
      </c>
      <c r="N272">
        <v>115.8</v>
      </c>
      <c r="O272">
        <v>126.9</v>
      </c>
      <c r="P272">
        <v>125.4</v>
      </c>
      <c r="Q272">
        <v>125.8</v>
      </c>
      <c r="R272">
        <v>120.3</v>
      </c>
      <c r="S272">
        <v>115.4</v>
      </c>
      <c r="T272">
        <v>119.5</v>
      </c>
      <c r="U272">
        <v>117.1</v>
      </c>
      <c r="V272">
        <v>112.6</v>
      </c>
      <c r="W272">
        <v>116.4</v>
      </c>
      <c r="X272">
        <v>113</v>
      </c>
      <c r="Y272">
        <v>109.7</v>
      </c>
      <c r="Z272">
        <v>114</v>
      </c>
      <c r="AA272">
        <v>120.3</v>
      </c>
      <c r="AB272">
        <v>109.6</v>
      </c>
      <c r="AC272">
        <v>113.4</v>
      </c>
      <c r="AD272">
        <v>119</v>
      </c>
    </row>
    <row r="273" spans="1:30" x14ac:dyDescent="0.25">
      <c r="A273" t="s">
        <v>33</v>
      </c>
      <c r="B273">
        <v>2014</v>
      </c>
      <c r="C273" t="s">
        <v>46</v>
      </c>
      <c r="D273">
        <v>124</v>
      </c>
      <c r="E273">
        <v>124.7</v>
      </c>
      <c r="F273">
        <v>126.3</v>
      </c>
      <c r="G273">
        <v>124.9</v>
      </c>
      <c r="H273">
        <v>103</v>
      </c>
      <c r="I273">
        <v>122.3</v>
      </c>
      <c r="J273">
        <v>141</v>
      </c>
      <c r="K273">
        <v>120.1</v>
      </c>
      <c r="L273">
        <v>97.8</v>
      </c>
      <c r="M273">
        <v>125.4</v>
      </c>
      <c r="N273">
        <v>116.1</v>
      </c>
      <c r="O273">
        <v>127.6</v>
      </c>
      <c r="P273">
        <v>124</v>
      </c>
      <c r="Q273">
        <v>126.4</v>
      </c>
      <c r="R273">
        <v>120.7</v>
      </c>
      <c r="S273">
        <v>115.8</v>
      </c>
      <c r="T273">
        <v>120</v>
      </c>
      <c r="U273">
        <v>116.5</v>
      </c>
      <c r="V273">
        <v>113</v>
      </c>
      <c r="W273">
        <v>116.8</v>
      </c>
      <c r="X273">
        <v>113.2</v>
      </c>
      <c r="Y273">
        <v>108.8</v>
      </c>
      <c r="Z273">
        <v>114.3</v>
      </c>
      <c r="AA273">
        <v>120.7</v>
      </c>
      <c r="AB273">
        <v>110.4</v>
      </c>
      <c r="AC273">
        <v>113.4</v>
      </c>
      <c r="AD273">
        <v>118.4</v>
      </c>
    </row>
    <row r="274" spans="1:30" x14ac:dyDescent="0.25">
      <c r="A274" t="s">
        <v>33</v>
      </c>
      <c r="B274">
        <v>2015</v>
      </c>
      <c r="C274" t="s">
        <v>31</v>
      </c>
      <c r="D274">
        <v>124</v>
      </c>
      <c r="E274">
        <v>125.5</v>
      </c>
      <c r="F274">
        <v>126.6</v>
      </c>
      <c r="G274">
        <v>125.2</v>
      </c>
      <c r="H274">
        <v>104.3</v>
      </c>
      <c r="I274">
        <v>121.3</v>
      </c>
      <c r="J274">
        <v>134.4</v>
      </c>
      <c r="K274">
        <v>122.9</v>
      </c>
      <c r="L274">
        <v>96.1</v>
      </c>
      <c r="M274">
        <v>126.6</v>
      </c>
      <c r="N274">
        <v>116.5</v>
      </c>
      <c r="O274">
        <v>128</v>
      </c>
      <c r="P274">
        <v>123.5</v>
      </c>
      <c r="Q274">
        <v>127.4</v>
      </c>
      <c r="R274">
        <v>121</v>
      </c>
      <c r="S274">
        <v>116.1</v>
      </c>
      <c r="T274">
        <v>120.2</v>
      </c>
      <c r="U274">
        <v>117.3</v>
      </c>
      <c r="V274">
        <v>113.4</v>
      </c>
      <c r="W274">
        <v>117.2</v>
      </c>
      <c r="X274">
        <v>113.7</v>
      </c>
      <c r="Y274">
        <v>107.9</v>
      </c>
      <c r="Z274">
        <v>114.6</v>
      </c>
      <c r="AA274">
        <v>120.8</v>
      </c>
      <c r="AB274">
        <v>111.4</v>
      </c>
      <c r="AC274">
        <v>113.4</v>
      </c>
      <c r="AD274">
        <v>118.5</v>
      </c>
    </row>
    <row r="275" spans="1:30" x14ac:dyDescent="0.25">
      <c r="A275" t="s">
        <v>33</v>
      </c>
      <c r="B275">
        <v>2015</v>
      </c>
      <c r="C275" t="s">
        <v>35</v>
      </c>
      <c r="D275">
        <v>124.3</v>
      </c>
      <c r="E275">
        <v>126.5</v>
      </c>
      <c r="F275">
        <v>119.5</v>
      </c>
      <c r="G275">
        <v>125.6</v>
      </c>
      <c r="H275">
        <v>104.9</v>
      </c>
      <c r="I275">
        <v>121.6</v>
      </c>
      <c r="J275">
        <v>131.80000000000001</v>
      </c>
      <c r="K275">
        <v>125.1</v>
      </c>
      <c r="L275">
        <v>95</v>
      </c>
      <c r="M275">
        <v>127.7</v>
      </c>
      <c r="N275">
        <v>116.8</v>
      </c>
      <c r="O275">
        <v>128.6</v>
      </c>
      <c r="P275">
        <v>123.7</v>
      </c>
      <c r="Q275">
        <v>128.1</v>
      </c>
      <c r="R275">
        <v>121.3</v>
      </c>
      <c r="S275">
        <v>116.5</v>
      </c>
      <c r="T275">
        <v>120.6</v>
      </c>
      <c r="U275">
        <v>118.1</v>
      </c>
      <c r="V275">
        <v>114</v>
      </c>
      <c r="W275">
        <v>117.7</v>
      </c>
      <c r="X275">
        <v>114.1</v>
      </c>
      <c r="Y275">
        <v>106.8</v>
      </c>
      <c r="Z275">
        <v>114.9</v>
      </c>
      <c r="AA275">
        <v>120.4</v>
      </c>
      <c r="AB275">
        <v>111.7</v>
      </c>
      <c r="AC275">
        <v>113.2</v>
      </c>
      <c r="AD275">
        <v>118.7</v>
      </c>
    </row>
    <row r="276" spans="1:30" x14ac:dyDescent="0.25">
      <c r="A276" t="s">
        <v>33</v>
      </c>
      <c r="B276">
        <v>2015</v>
      </c>
      <c r="C276" t="s">
        <v>36</v>
      </c>
      <c r="D276">
        <v>124</v>
      </c>
      <c r="E276">
        <v>126.7</v>
      </c>
      <c r="F276">
        <v>113.5</v>
      </c>
      <c r="G276">
        <v>125.9</v>
      </c>
      <c r="H276">
        <v>104.8</v>
      </c>
      <c r="I276">
        <v>123.8</v>
      </c>
      <c r="J276">
        <v>131.4</v>
      </c>
      <c r="K276">
        <v>127.2</v>
      </c>
      <c r="L276">
        <v>93.2</v>
      </c>
      <c r="M276">
        <v>127.4</v>
      </c>
      <c r="N276">
        <v>117</v>
      </c>
      <c r="O276">
        <v>129.19999999999999</v>
      </c>
      <c r="P276">
        <v>123.9</v>
      </c>
      <c r="Q276">
        <v>128.80000000000001</v>
      </c>
      <c r="R276">
        <v>121.7</v>
      </c>
      <c r="S276">
        <v>116.9</v>
      </c>
      <c r="T276">
        <v>120.9</v>
      </c>
      <c r="U276">
        <v>118.6</v>
      </c>
      <c r="V276">
        <v>114.4</v>
      </c>
      <c r="W276">
        <v>118</v>
      </c>
      <c r="X276">
        <v>114.3</v>
      </c>
      <c r="Y276">
        <v>108.4</v>
      </c>
      <c r="Z276">
        <v>115.4</v>
      </c>
      <c r="AA276">
        <v>120.6</v>
      </c>
      <c r="AB276">
        <v>111.3</v>
      </c>
      <c r="AC276">
        <v>113.8</v>
      </c>
      <c r="AD276">
        <v>119.1</v>
      </c>
    </row>
    <row r="277" spans="1:30" x14ac:dyDescent="0.25">
      <c r="A277" t="s">
        <v>33</v>
      </c>
      <c r="B277">
        <v>2015</v>
      </c>
      <c r="C277" t="s">
        <v>37</v>
      </c>
      <c r="D277">
        <v>123.8</v>
      </c>
      <c r="E277">
        <v>128.19999999999999</v>
      </c>
      <c r="F277">
        <v>110</v>
      </c>
      <c r="G277">
        <v>126.3</v>
      </c>
      <c r="H277">
        <v>104.5</v>
      </c>
      <c r="I277">
        <v>130.6</v>
      </c>
      <c r="J277">
        <v>130.80000000000001</v>
      </c>
      <c r="K277">
        <v>131.30000000000001</v>
      </c>
      <c r="L277">
        <v>91.6</v>
      </c>
      <c r="M277">
        <v>127.7</v>
      </c>
      <c r="N277">
        <v>117.2</v>
      </c>
      <c r="O277">
        <v>129.5</v>
      </c>
      <c r="P277">
        <v>124.6</v>
      </c>
      <c r="Q277">
        <v>130.1</v>
      </c>
      <c r="R277">
        <v>122.1</v>
      </c>
      <c r="S277">
        <v>117.2</v>
      </c>
      <c r="T277">
        <v>121.3</v>
      </c>
      <c r="U277">
        <v>119.2</v>
      </c>
      <c r="V277">
        <v>114.7</v>
      </c>
      <c r="W277">
        <v>118.4</v>
      </c>
      <c r="X277">
        <v>114.6</v>
      </c>
      <c r="Y277">
        <v>108.4</v>
      </c>
      <c r="Z277">
        <v>115.6</v>
      </c>
      <c r="AA277">
        <v>121.7</v>
      </c>
      <c r="AB277">
        <v>111.8</v>
      </c>
      <c r="AC277">
        <v>114.2</v>
      </c>
      <c r="AD277">
        <v>119.7</v>
      </c>
    </row>
    <row r="278" spans="1:30" x14ac:dyDescent="0.25">
      <c r="A278" t="s">
        <v>33</v>
      </c>
      <c r="B278">
        <v>2015</v>
      </c>
      <c r="C278" t="s">
        <v>38</v>
      </c>
      <c r="D278">
        <v>123.8</v>
      </c>
      <c r="E278">
        <v>129.69999999999999</v>
      </c>
      <c r="F278">
        <v>111.3</v>
      </c>
      <c r="G278">
        <v>126.6</v>
      </c>
      <c r="H278">
        <v>105.2</v>
      </c>
      <c r="I278">
        <v>130.80000000000001</v>
      </c>
      <c r="J278">
        <v>135.6</v>
      </c>
      <c r="K278">
        <v>142.6</v>
      </c>
      <c r="L278">
        <v>90.8</v>
      </c>
      <c r="M278">
        <v>128.80000000000001</v>
      </c>
      <c r="N278">
        <v>117.7</v>
      </c>
      <c r="O278">
        <v>129.9</v>
      </c>
      <c r="P278">
        <v>126.1</v>
      </c>
      <c r="Q278">
        <v>131.30000000000001</v>
      </c>
      <c r="R278">
        <v>122.4</v>
      </c>
      <c r="S278">
        <v>117.4</v>
      </c>
      <c r="T278">
        <v>121.6</v>
      </c>
      <c r="U278">
        <v>119.6</v>
      </c>
      <c r="V278">
        <v>114.9</v>
      </c>
      <c r="W278">
        <v>118.7</v>
      </c>
      <c r="X278">
        <v>114.9</v>
      </c>
      <c r="Y278">
        <v>110.8</v>
      </c>
      <c r="Z278">
        <v>116</v>
      </c>
      <c r="AA278">
        <v>122</v>
      </c>
      <c r="AB278">
        <v>112.4</v>
      </c>
      <c r="AC278">
        <v>115.2</v>
      </c>
      <c r="AD278">
        <v>120.7</v>
      </c>
    </row>
    <row r="279" spans="1:30" x14ac:dyDescent="0.25">
      <c r="A279" t="s">
        <v>33</v>
      </c>
      <c r="B279">
        <v>2015</v>
      </c>
      <c r="C279" t="s">
        <v>39</v>
      </c>
      <c r="D279">
        <v>123.6</v>
      </c>
      <c r="E279">
        <v>134.4</v>
      </c>
      <c r="F279">
        <v>120.9</v>
      </c>
      <c r="G279">
        <v>127.3</v>
      </c>
      <c r="H279">
        <v>106</v>
      </c>
      <c r="I279">
        <v>132.30000000000001</v>
      </c>
      <c r="J279">
        <v>146.69999999999999</v>
      </c>
      <c r="K279">
        <v>148.1</v>
      </c>
      <c r="L279">
        <v>89.8</v>
      </c>
      <c r="M279">
        <v>130.5</v>
      </c>
      <c r="N279">
        <v>118</v>
      </c>
      <c r="O279">
        <v>130.5</v>
      </c>
      <c r="P279">
        <v>128.5</v>
      </c>
      <c r="Q279">
        <v>132.1</v>
      </c>
      <c r="R279">
        <v>123.2</v>
      </c>
      <c r="S279">
        <v>117.6</v>
      </c>
      <c r="T279">
        <v>122.3</v>
      </c>
      <c r="U279">
        <v>119</v>
      </c>
      <c r="V279">
        <v>115.1</v>
      </c>
      <c r="W279">
        <v>119.2</v>
      </c>
      <c r="X279">
        <v>115.4</v>
      </c>
      <c r="Y279">
        <v>111.7</v>
      </c>
      <c r="Z279">
        <v>116.2</v>
      </c>
      <c r="AA279">
        <v>123.8</v>
      </c>
      <c r="AB279">
        <v>112.5</v>
      </c>
      <c r="AC279">
        <v>116</v>
      </c>
      <c r="AD279">
        <v>121.7</v>
      </c>
    </row>
    <row r="280" spans="1:30" x14ac:dyDescent="0.25">
      <c r="A280" t="s">
        <v>33</v>
      </c>
      <c r="B280">
        <v>2015</v>
      </c>
      <c r="C280" t="s">
        <v>40</v>
      </c>
      <c r="D280">
        <v>123.2</v>
      </c>
      <c r="E280">
        <v>134.30000000000001</v>
      </c>
      <c r="F280">
        <v>119.5</v>
      </c>
      <c r="G280">
        <v>127.7</v>
      </c>
      <c r="H280">
        <v>106.3</v>
      </c>
      <c r="I280">
        <v>132.80000000000001</v>
      </c>
      <c r="J280">
        <v>153.5</v>
      </c>
      <c r="K280">
        <v>149.5</v>
      </c>
      <c r="L280">
        <v>85.7</v>
      </c>
      <c r="M280">
        <v>131.5</v>
      </c>
      <c r="N280">
        <v>118.3</v>
      </c>
      <c r="O280">
        <v>131.1</v>
      </c>
      <c r="P280">
        <v>129.5</v>
      </c>
      <c r="Q280">
        <v>133.1</v>
      </c>
      <c r="R280">
        <v>123.5</v>
      </c>
      <c r="S280">
        <v>117.9</v>
      </c>
      <c r="T280">
        <v>122.7</v>
      </c>
      <c r="U280">
        <v>119.9</v>
      </c>
      <c r="V280">
        <v>115.3</v>
      </c>
      <c r="W280">
        <v>119.5</v>
      </c>
      <c r="X280">
        <v>116</v>
      </c>
      <c r="Y280">
        <v>111.5</v>
      </c>
      <c r="Z280">
        <v>116.6</v>
      </c>
      <c r="AA280">
        <v>125.4</v>
      </c>
      <c r="AB280">
        <v>111.7</v>
      </c>
      <c r="AC280">
        <v>116.3</v>
      </c>
      <c r="AD280">
        <v>122.4</v>
      </c>
    </row>
    <row r="281" spans="1:30" x14ac:dyDescent="0.25">
      <c r="A281" t="s">
        <v>33</v>
      </c>
      <c r="B281">
        <v>2015</v>
      </c>
      <c r="C281" t="s">
        <v>41</v>
      </c>
      <c r="D281">
        <v>123.1</v>
      </c>
      <c r="E281">
        <v>131.69999999999999</v>
      </c>
      <c r="F281">
        <v>118.1</v>
      </c>
      <c r="G281">
        <v>128</v>
      </c>
      <c r="H281">
        <v>106.8</v>
      </c>
      <c r="I281">
        <v>130.1</v>
      </c>
      <c r="J281">
        <v>165.5</v>
      </c>
      <c r="K281">
        <v>156</v>
      </c>
      <c r="L281">
        <v>85.3</v>
      </c>
      <c r="M281">
        <v>132.69999999999999</v>
      </c>
      <c r="N281">
        <v>118.8</v>
      </c>
      <c r="O281">
        <v>131.69999999999999</v>
      </c>
      <c r="P281">
        <v>131.1</v>
      </c>
      <c r="Q281">
        <v>134.19999999999999</v>
      </c>
      <c r="R281">
        <v>123.7</v>
      </c>
      <c r="S281">
        <v>118.2</v>
      </c>
      <c r="T281">
        <v>122.9</v>
      </c>
      <c r="U281">
        <v>120.9</v>
      </c>
      <c r="V281">
        <v>115.3</v>
      </c>
      <c r="W281">
        <v>120</v>
      </c>
      <c r="X281">
        <v>116.6</v>
      </c>
      <c r="Y281">
        <v>109.9</v>
      </c>
      <c r="Z281">
        <v>117.2</v>
      </c>
      <c r="AA281">
        <v>126.2</v>
      </c>
      <c r="AB281">
        <v>112</v>
      </c>
      <c r="AC281">
        <v>116.2</v>
      </c>
      <c r="AD281">
        <v>123.2</v>
      </c>
    </row>
    <row r="282" spans="1:30" x14ac:dyDescent="0.25">
      <c r="A282" t="s">
        <v>33</v>
      </c>
      <c r="B282">
        <v>2015</v>
      </c>
      <c r="C282" t="s">
        <v>42</v>
      </c>
      <c r="D282">
        <v>123.4</v>
      </c>
      <c r="E282">
        <v>129</v>
      </c>
      <c r="F282">
        <v>115.6</v>
      </c>
      <c r="G282">
        <v>128.30000000000001</v>
      </c>
      <c r="H282">
        <v>107</v>
      </c>
      <c r="I282">
        <v>124</v>
      </c>
      <c r="J282">
        <v>168.5</v>
      </c>
      <c r="K282">
        <v>165.4</v>
      </c>
      <c r="L282">
        <v>86.3</v>
      </c>
      <c r="M282">
        <v>134.4</v>
      </c>
      <c r="N282">
        <v>119.1</v>
      </c>
      <c r="O282">
        <v>132.30000000000001</v>
      </c>
      <c r="P282">
        <v>131.5</v>
      </c>
      <c r="Q282">
        <v>134.69999999999999</v>
      </c>
      <c r="R282">
        <v>124</v>
      </c>
      <c r="S282">
        <v>118.6</v>
      </c>
      <c r="T282">
        <v>123.2</v>
      </c>
      <c r="U282">
        <v>121.6</v>
      </c>
      <c r="V282">
        <v>115.1</v>
      </c>
      <c r="W282">
        <v>120.4</v>
      </c>
      <c r="X282">
        <v>117.1</v>
      </c>
      <c r="Y282">
        <v>109.1</v>
      </c>
      <c r="Z282">
        <v>117.3</v>
      </c>
      <c r="AA282">
        <v>126.5</v>
      </c>
      <c r="AB282">
        <v>112.9</v>
      </c>
      <c r="AC282">
        <v>116.2</v>
      </c>
      <c r="AD282">
        <v>123.5</v>
      </c>
    </row>
    <row r="283" spans="1:30" x14ac:dyDescent="0.25">
      <c r="A283" t="s">
        <v>33</v>
      </c>
      <c r="B283">
        <v>2015</v>
      </c>
      <c r="C283" t="s">
        <v>43</v>
      </c>
      <c r="D283">
        <v>123.6</v>
      </c>
      <c r="E283">
        <v>128.6</v>
      </c>
      <c r="F283">
        <v>115.9</v>
      </c>
      <c r="G283">
        <v>128.5</v>
      </c>
      <c r="H283">
        <v>109</v>
      </c>
      <c r="I283">
        <v>124.1</v>
      </c>
      <c r="J283">
        <v>165.8</v>
      </c>
      <c r="K283">
        <v>187.2</v>
      </c>
      <c r="L283">
        <v>89.4</v>
      </c>
      <c r="M283">
        <v>135.80000000000001</v>
      </c>
      <c r="N283">
        <v>119.4</v>
      </c>
      <c r="O283">
        <v>132.9</v>
      </c>
      <c r="P283">
        <v>132.6</v>
      </c>
      <c r="Q283">
        <v>135.30000000000001</v>
      </c>
      <c r="R283">
        <v>124.4</v>
      </c>
      <c r="S283">
        <v>118.8</v>
      </c>
      <c r="T283">
        <v>123.6</v>
      </c>
      <c r="U283">
        <v>122.4</v>
      </c>
      <c r="V283">
        <v>114.9</v>
      </c>
      <c r="W283">
        <v>120.7</v>
      </c>
      <c r="X283">
        <v>117.7</v>
      </c>
      <c r="Y283">
        <v>109.3</v>
      </c>
      <c r="Z283">
        <v>117.7</v>
      </c>
      <c r="AA283">
        <v>126.5</v>
      </c>
      <c r="AB283">
        <v>113.5</v>
      </c>
      <c r="AC283">
        <v>116.5</v>
      </c>
      <c r="AD283">
        <v>124.2</v>
      </c>
    </row>
    <row r="284" spans="1:30" x14ac:dyDescent="0.25">
      <c r="A284" t="s">
        <v>33</v>
      </c>
      <c r="B284">
        <v>2015</v>
      </c>
      <c r="C284" t="s">
        <v>45</v>
      </c>
      <c r="D284">
        <v>124</v>
      </c>
      <c r="E284">
        <v>129.80000000000001</v>
      </c>
      <c r="F284">
        <v>121.5</v>
      </c>
      <c r="G284">
        <v>128.6</v>
      </c>
      <c r="H284">
        <v>110</v>
      </c>
      <c r="I284">
        <v>123.7</v>
      </c>
      <c r="J284">
        <v>164.6</v>
      </c>
      <c r="K284">
        <v>191.6</v>
      </c>
      <c r="L284">
        <v>90.8</v>
      </c>
      <c r="M284">
        <v>137.1</v>
      </c>
      <c r="N284">
        <v>119.8</v>
      </c>
      <c r="O284">
        <v>133.69999999999999</v>
      </c>
      <c r="P284">
        <v>133.30000000000001</v>
      </c>
      <c r="Q284">
        <v>137.6</v>
      </c>
      <c r="R284">
        <v>125</v>
      </c>
      <c r="S284">
        <v>119.3</v>
      </c>
      <c r="T284">
        <v>124.2</v>
      </c>
      <c r="U284">
        <v>122.9</v>
      </c>
      <c r="V284">
        <v>115.1</v>
      </c>
      <c r="W284">
        <v>121</v>
      </c>
      <c r="X284">
        <v>118.1</v>
      </c>
      <c r="Y284">
        <v>109.3</v>
      </c>
      <c r="Z284">
        <v>117.9</v>
      </c>
      <c r="AA284">
        <v>126.6</v>
      </c>
      <c r="AB284">
        <v>113.3</v>
      </c>
      <c r="AC284">
        <v>116.6</v>
      </c>
      <c r="AD284">
        <v>124.6</v>
      </c>
    </row>
    <row r="285" spans="1:30" x14ac:dyDescent="0.25">
      <c r="A285" t="s">
        <v>33</v>
      </c>
      <c r="B285">
        <v>2015</v>
      </c>
      <c r="C285" t="s">
        <v>46</v>
      </c>
      <c r="D285">
        <v>124.3</v>
      </c>
      <c r="E285">
        <v>131.69999999999999</v>
      </c>
      <c r="F285">
        <v>127.1</v>
      </c>
      <c r="G285">
        <v>128.6</v>
      </c>
      <c r="H285">
        <v>110</v>
      </c>
      <c r="I285">
        <v>120.8</v>
      </c>
      <c r="J285">
        <v>149</v>
      </c>
      <c r="K285">
        <v>190.1</v>
      </c>
      <c r="L285">
        <v>92.7</v>
      </c>
      <c r="M285">
        <v>138.6</v>
      </c>
      <c r="N285">
        <v>120.2</v>
      </c>
      <c r="O285">
        <v>134.19999999999999</v>
      </c>
      <c r="P285">
        <v>131.5</v>
      </c>
      <c r="Q285">
        <v>138.19999999999999</v>
      </c>
      <c r="R285">
        <v>125.4</v>
      </c>
      <c r="S285">
        <v>119.5</v>
      </c>
      <c r="T285">
        <v>124.5</v>
      </c>
      <c r="U285">
        <v>122.4</v>
      </c>
      <c r="V285">
        <v>116</v>
      </c>
      <c r="W285">
        <v>121</v>
      </c>
      <c r="X285">
        <v>118.6</v>
      </c>
      <c r="Y285">
        <v>109.3</v>
      </c>
      <c r="Z285">
        <v>118.1</v>
      </c>
      <c r="AA285">
        <v>126.6</v>
      </c>
      <c r="AB285">
        <v>113.2</v>
      </c>
      <c r="AC285">
        <v>116.7</v>
      </c>
      <c r="AD285">
        <v>124</v>
      </c>
    </row>
    <row r="286" spans="1:30" x14ac:dyDescent="0.25">
      <c r="A286" t="s">
        <v>33</v>
      </c>
      <c r="B286">
        <v>2016</v>
      </c>
      <c r="C286" t="s">
        <v>31</v>
      </c>
      <c r="D286">
        <v>124.7</v>
      </c>
      <c r="E286">
        <v>135.9</v>
      </c>
      <c r="F286">
        <v>132</v>
      </c>
      <c r="G286">
        <v>129.19999999999999</v>
      </c>
      <c r="H286">
        <v>109.7</v>
      </c>
      <c r="I286">
        <v>119</v>
      </c>
      <c r="J286">
        <v>144.1</v>
      </c>
      <c r="K286">
        <v>184.2</v>
      </c>
      <c r="L286">
        <v>96.7</v>
      </c>
      <c r="M286">
        <v>139.5</v>
      </c>
      <c r="N286">
        <v>120.5</v>
      </c>
      <c r="O286">
        <v>134.69999999999999</v>
      </c>
      <c r="P286">
        <v>131.19999999999999</v>
      </c>
      <c r="Q286">
        <v>139.5</v>
      </c>
      <c r="R286">
        <v>125.8</v>
      </c>
      <c r="S286">
        <v>119.8</v>
      </c>
      <c r="T286">
        <v>124.9</v>
      </c>
      <c r="U286">
        <v>123.4</v>
      </c>
      <c r="V286">
        <v>116.9</v>
      </c>
      <c r="W286">
        <v>121.6</v>
      </c>
      <c r="X286">
        <v>119.1</v>
      </c>
      <c r="Y286">
        <v>108.9</v>
      </c>
      <c r="Z286">
        <v>118.5</v>
      </c>
      <c r="AA286">
        <v>126.4</v>
      </c>
      <c r="AB286">
        <v>114</v>
      </c>
      <c r="AC286">
        <v>116.8</v>
      </c>
      <c r="AD286">
        <v>124.2</v>
      </c>
    </row>
    <row r="287" spans="1:30" x14ac:dyDescent="0.25">
      <c r="A287" t="s">
        <v>33</v>
      </c>
      <c r="B287">
        <v>2016</v>
      </c>
      <c r="C287" t="s">
        <v>35</v>
      </c>
      <c r="D287">
        <v>124.8</v>
      </c>
      <c r="E287">
        <v>135.1</v>
      </c>
      <c r="F287">
        <v>130.30000000000001</v>
      </c>
      <c r="G287">
        <v>129.6</v>
      </c>
      <c r="H287">
        <v>108.4</v>
      </c>
      <c r="I287">
        <v>118.6</v>
      </c>
      <c r="J287">
        <v>129.19999999999999</v>
      </c>
      <c r="K287">
        <v>176.4</v>
      </c>
      <c r="L287">
        <v>99.1</v>
      </c>
      <c r="M287">
        <v>139.69999999999999</v>
      </c>
      <c r="N287">
        <v>120.6</v>
      </c>
      <c r="O287">
        <v>135.19999999999999</v>
      </c>
      <c r="P287">
        <v>129.1</v>
      </c>
      <c r="Q287">
        <v>140</v>
      </c>
      <c r="R287">
        <v>126.2</v>
      </c>
      <c r="S287">
        <v>120.1</v>
      </c>
      <c r="T287">
        <v>125.3</v>
      </c>
      <c r="U287">
        <v>124.4</v>
      </c>
      <c r="V287">
        <v>116</v>
      </c>
      <c r="W287">
        <v>121.8</v>
      </c>
      <c r="X287">
        <v>119.5</v>
      </c>
      <c r="Y287">
        <v>109.1</v>
      </c>
      <c r="Z287">
        <v>118.8</v>
      </c>
      <c r="AA287">
        <v>126.3</v>
      </c>
      <c r="AB287">
        <v>116.2</v>
      </c>
      <c r="AC287">
        <v>117.2</v>
      </c>
      <c r="AD287">
        <v>123.8</v>
      </c>
    </row>
    <row r="288" spans="1:30" x14ac:dyDescent="0.25">
      <c r="A288" t="s">
        <v>33</v>
      </c>
      <c r="B288">
        <v>2016</v>
      </c>
      <c r="C288" t="s">
        <v>36</v>
      </c>
      <c r="D288">
        <v>124.8</v>
      </c>
      <c r="E288">
        <v>136.30000000000001</v>
      </c>
      <c r="F288">
        <v>123.7</v>
      </c>
      <c r="G288">
        <v>129.69999999999999</v>
      </c>
      <c r="H288">
        <v>107.9</v>
      </c>
      <c r="I288">
        <v>119.9</v>
      </c>
      <c r="J288">
        <v>128.1</v>
      </c>
      <c r="K288">
        <v>170.3</v>
      </c>
      <c r="L288">
        <v>101.8</v>
      </c>
      <c r="M288">
        <v>140.1</v>
      </c>
      <c r="N288">
        <v>120.7</v>
      </c>
      <c r="O288">
        <v>135.4</v>
      </c>
      <c r="P288">
        <v>128.9</v>
      </c>
      <c r="Q288">
        <v>140.6</v>
      </c>
      <c r="R288">
        <v>126.4</v>
      </c>
      <c r="S288">
        <v>120.3</v>
      </c>
      <c r="T288">
        <v>125.5</v>
      </c>
      <c r="U288">
        <v>124.9</v>
      </c>
      <c r="V288">
        <v>114.8</v>
      </c>
      <c r="W288">
        <v>122.3</v>
      </c>
      <c r="X288">
        <v>119.7</v>
      </c>
      <c r="Y288">
        <v>108.5</v>
      </c>
      <c r="Z288">
        <v>119.1</v>
      </c>
      <c r="AA288">
        <v>126.4</v>
      </c>
      <c r="AB288">
        <v>117.1</v>
      </c>
      <c r="AC288">
        <v>117.3</v>
      </c>
      <c r="AD288">
        <v>123.8</v>
      </c>
    </row>
    <row r="289" spans="1:30" x14ac:dyDescent="0.25">
      <c r="A289" t="s">
        <v>33</v>
      </c>
      <c r="B289">
        <v>2016</v>
      </c>
      <c r="C289" t="s">
        <v>37</v>
      </c>
      <c r="D289">
        <v>124.9</v>
      </c>
      <c r="E289">
        <v>139.30000000000001</v>
      </c>
      <c r="F289">
        <v>119.9</v>
      </c>
      <c r="G289">
        <v>130.19999999999999</v>
      </c>
      <c r="H289">
        <v>108.9</v>
      </c>
      <c r="I289">
        <v>131.1</v>
      </c>
      <c r="J289">
        <v>136.80000000000001</v>
      </c>
      <c r="K289">
        <v>176.9</v>
      </c>
      <c r="L289">
        <v>109.1</v>
      </c>
      <c r="M289">
        <v>140.4</v>
      </c>
      <c r="N289">
        <v>121.1</v>
      </c>
      <c r="O289">
        <v>135.9</v>
      </c>
      <c r="P289">
        <v>131.80000000000001</v>
      </c>
      <c r="Q289">
        <v>141.5</v>
      </c>
      <c r="R289">
        <v>126.8</v>
      </c>
      <c r="S289">
        <v>120.5</v>
      </c>
      <c r="T289">
        <v>125.8</v>
      </c>
      <c r="U289">
        <v>125.6</v>
      </c>
      <c r="V289">
        <v>114.6</v>
      </c>
      <c r="W289">
        <v>122.8</v>
      </c>
      <c r="X289">
        <v>120</v>
      </c>
      <c r="Y289">
        <v>110</v>
      </c>
      <c r="Z289">
        <v>119.5</v>
      </c>
      <c r="AA289">
        <v>127.6</v>
      </c>
      <c r="AB289">
        <v>117.6</v>
      </c>
      <c r="AC289">
        <v>118.2</v>
      </c>
      <c r="AD289">
        <v>125.3</v>
      </c>
    </row>
    <row r="290" spans="1:30" x14ac:dyDescent="0.25">
      <c r="A290" t="s">
        <v>33</v>
      </c>
      <c r="B290">
        <v>2016</v>
      </c>
      <c r="C290" t="s">
        <v>38</v>
      </c>
      <c r="D290">
        <v>125</v>
      </c>
      <c r="E290">
        <v>142.1</v>
      </c>
      <c r="F290">
        <v>127</v>
      </c>
      <c r="G290">
        <v>130.4</v>
      </c>
      <c r="H290">
        <v>109.6</v>
      </c>
      <c r="I290">
        <v>133.5</v>
      </c>
      <c r="J290">
        <v>151.4</v>
      </c>
      <c r="K290">
        <v>182.8</v>
      </c>
      <c r="L290">
        <v>111.1</v>
      </c>
      <c r="M290">
        <v>141.5</v>
      </c>
      <c r="N290">
        <v>121.5</v>
      </c>
      <c r="O290">
        <v>136.30000000000001</v>
      </c>
      <c r="P290">
        <v>134.6</v>
      </c>
      <c r="Q290">
        <v>142.19999999999999</v>
      </c>
      <c r="R290">
        <v>127.2</v>
      </c>
      <c r="S290">
        <v>120.7</v>
      </c>
      <c r="T290">
        <v>126.2</v>
      </c>
      <c r="U290">
        <v>126</v>
      </c>
      <c r="V290">
        <v>115</v>
      </c>
      <c r="W290">
        <v>123.2</v>
      </c>
      <c r="X290">
        <v>120.3</v>
      </c>
      <c r="Y290">
        <v>110.7</v>
      </c>
      <c r="Z290">
        <v>119.8</v>
      </c>
      <c r="AA290">
        <v>128</v>
      </c>
      <c r="AB290">
        <v>118.5</v>
      </c>
      <c r="AC290">
        <v>118.7</v>
      </c>
      <c r="AD290">
        <v>126.6</v>
      </c>
    </row>
    <row r="291" spans="1:30" x14ac:dyDescent="0.25">
      <c r="A291" t="s">
        <v>33</v>
      </c>
      <c r="B291">
        <v>2016</v>
      </c>
      <c r="C291" t="s">
        <v>39</v>
      </c>
      <c r="D291">
        <v>125.9</v>
      </c>
      <c r="E291">
        <v>143.9</v>
      </c>
      <c r="F291">
        <v>130.9</v>
      </c>
      <c r="G291">
        <v>131</v>
      </c>
      <c r="H291">
        <v>110.2</v>
      </c>
      <c r="I291">
        <v>135.5</v>
      </c>
      <c r="J291">
        <v>173.7</v>
      </c>
      <c r="K291">
        <v>184.4</v>
      </c>
      <c r="L291">
        <v>112</v>
      </c>
      <c r="M291">
        <v>142.80000000000001</v>
      </c>
      <c r="N291">
        <v>121.6</v>
      </c>
      <c r="O291">
        <v>136.9</v>
      </c>
      <c r="P291">
        <v>138.19999999999999</v>
      </c>
      <c r="Q291">
        <v>142.69999999999999</v>
      </c>
      <c r="R291">
        <v>127.6</v>
      </c>
      <c r="S291">
        <v>121.1</v>
      </c>
      <c r="T291">
        <v>126.6</v>
      </c>
      <c r="U291">
        <v>125.5</v>
      </c>
      <c r="V291">
        <v>115.5</v>
      </c>
      <c r="W291">
        <v>123.2</v>
      </c>
      <c r="X291">
        <v>120.6</v>
      </c>
      <c r="Y291">
        <v>112.3</v>
      </c>
      <c r="Z291">
        <v>119.9</v>
      </c>
      <c r="AA291">
        <v>129.30000000000001</v>
      </c>
      <c r="AB291">
        <v>118.8</v>
      </c>
      <c r="AC291">
        <v>119.6</v>
      </c>
      <c r="AD291">
        <v>128.1</v>
      </c>
    </row>
    <row r="292" spans="1:30" x14ac:dyDescent="0.25">
      <c r="A292" t="s">
        <v>33</v>
      </c>
      <c r="B292">
        <v>2016</v>
      </c>
      <c r="C292" t="s">
        <v>40</v>
      </c>
      <c r="D292">
        <v>126.8</v>
      </c>
      <c r="E292">
        <v>144.19999999999999</v>
      </c>
      <c r="F292">
        <v>136.6</v>
      </c>
      <c r="G292">
        <v>131.80000000000001</v>
      </c>
      <c r="H292">
        <v>111</v>
      </c>
      <c r="I292">
        <v>137</v>
      </c>
      <c r="J292">
        <v>179.5</v>
      </c>
      <c r="K292">
        <v>188.4</v>
      </c>
      <c r="L292">
        <v>113.3</v>
      </c>
      <c r="M292">
        <v>143.9</v>
      </c>
      <c r="N292">
        <v>121.7</v>
      </c>
      <c r="O292">
        <v>137.5</v>
      </c>
      <c r="P292">
        <v>139.80000000000001</v>
      </c>
      <c r="Q292">
        <v>142.9</v>
      </c>
      <c r="R292">
        <v>127.9</v>
      </c>
      <c r="S292">
        <v>121.1</v>
      </c>
      <c r="T292">
        <v>126.9</v>
      </c>
      <c r="U292">
        <v>126.4</v>
      </c>
      <c r="V292">
        <v>115.5</v>
      </c>
      <c r="W292">
        <v>123.5</v>
      </c>
      <c r="X292">
        <v>120.9</v>
      </c>
      <c r="Y292">
        <v>111.7</v>
      </c>
      <c r="Z292">
        <v>120.3</v>
      </c>
      <c r="AA292">
        <v>130.80000000000001</v>
      </c>
      <c r="AB292">
        <v>120</v>
      </c>
      <c r="AC292">
        <v>119.9</v>
      </c>
      <c r="AD292">
        <v>129</v>
      </c>
    </row>
    <row r="293" spans="1:30" x14ac:dyDescent="0.25">
      <c r="A293" t="s">
        <v>33</v>
      </c>
      <c r="B293">
        <v>2016</v>
      </c>
      <c r="C293" t="s">
        <v>41</v>
      </c>
      <c r="D293">
        <v>127.6</v>
      </c>
      <c r="E293">
        <v>140.30000000000001</v>
      </c>
      <c r="F293">
        <v>133.69999999999999</v>
      </c>
      <c r="G293">
        <v>132.19999999999999</v>
      </c>
      <c r="H293">
        <v>111.8</v>
      </c>
      <c r="I293">
        <v>135.80000000000001</v>
      </c>
      <c r="J293">
        <v>163.5</v>
      </c>
      <c r="K293">
        <v>182.3</v>
      </c>
      <c r="L293">
        <v>114.6</v>
      </c>
      <c r="M293">
        <v>144.6</v>
      </c>
      <c r="N293">
        <v>121.9</v>
      </c>
      <c r="O293">
        <v>138.1</v>
      </c>
      <c r="P293">
        <v>137.6</v>
      </c>
      <c r="Q293">
        <v>143.6</v>
      </c>
      <c r="R293">
        <v>128.30000000000001</v>
      </c>
      <c r="S293">
        <v>121.4</v>
      </c>
      <c r="T293">
        <v>127.3</v>
      </c>
      <c r="U293">
        <v>127.3</v>
      </c>
      <c r="V293">
        <v>114.7</v>
      </c>
      <c r="W293">
        <v>123.9</v>
      </c>
      <c r="X293">
        <v>121.2</v>
      </c>
      <c r="Y293">
        <v>110.4</v>
      </c>
      <c r="Z293">
        <v>120.6</v>
      </c>
      <c r="AA293">
        <v>131.5</v>
      </c>
      <c r="AB293">
        <v>120.9</v>
      </c>
      <c r="AC293">
        <v>119.9</v>
      </c>
      <c r="AD293">
        <v>128.4</v>
      </c>
    </row>
    <row r="294" spans="1:30" x14ac:dyDescent="0.25">
      <c r="A294" t="s">
        <v>33</v>
      </c>
      <c r="B294">
        <v>2016</v>
      </c>
      <c r="C294" t="s">
        <v>42</v>
      </c>
      <c r="D294">
        <v>128.1</v>
      </c>
      <c r="E294">
        <v>137.69999999999999</v>
      </c>
      <c r="F294">
        <v>130.6</v>
      </c>
      <c r="G294">
        <v>132.6</v>
      </c>
      <c r="H294">
        <v>111.9</v>
      </c>
      <c r="I294">
        <v>132.5</v>
      </c>
      <c r="J294">
        <v>152.9</v>
      </c>
      <c r="K294">
        <v>173.6</v>
      </c>
      <c r="L294">
        <v>115.1</v>
      </c>
      <c r="M294">
        <v>144.80000000000001</v>
      </c>
      <c r="N294">
        <v>122.1</v>
      </c>
      <c r="O294">
        <v>138.80000000000001</v>
      </c>
      <c r="P294">
        <v>135.69999999999999</v>
      </c>
      <c r="Q294">
        <v>143.9</v>
      </c>
      <c r="R294">
        <v>128.69999999999999</v>
      </c>
      <c r="S294">
        <v>121.6</v>
      </c>
      <c r="T294">
        <v>127.7</v>
      </c>
      <c r="U294">
        <v>127.9</v>
      </c>
      <c r="V294">
        <v>114.8</v>
      </c>
      <c r="W294">
        <v>124.3</v>
      </c>
      <c r="X294">
        <v>121.4</v>
      </c>
      <c r="Y294">
        <v>111.8</v>
      </c>
      <c r="Z294">
        <v>120.8</v>
      </c>
      <c r="AA294">
        <v>131.6</v>
      </c>
      <c r="AB294">
        <v>121.2</v>
      </c>
      <c r="AC294">
        <v>120.5</v>
      </c>
      <c r="AD294">
        <v>128</v>
      </c>
    </row>
    <row r="295" spans="1:30" x14ac:dyDescent="0.25">
      <c r="A295" t="s">
        <v>33</v>
      </c>
      <c r="B295">
        <v>2016</v>
      </c>
      <c r="C295" t="s">
        <v>43</v>
      </c>
      <c r="D295">
        <v>128.69999999999999</v>
      </c>
      <c r="E295">
        <v>138.4</v>
      </c>
      <c r="F295">
        <v>130.30000000000001</v>
      </c>
      <c r="G295">
        <v>132.69999999999999</v>
      </c>
      <c r="H295">
        <v>112.5</v>
      </c>
      <c r="I295">
        <v>130.4</v>
      </c>
      <c r="J295">
        <v>155.1</v>
      </c>
      <c r="K295">
        <v>175.7</v>
      </c>
      <c r="L295">
        <v>115.4</v>
      </c>
      <c r="M295">
        <v>145.30000000000001</v>
      </c>
      <c r="N295">
        <v>122.5</v>
      </c>
      <c r="O295">
        <v>139.6</v>
      </c>
      <c r="P295">
        <v>136.30000000000001</v>
      </c>
      <c r="Q295">
        <v>144.30000000000001</v>
      </c>
      <c r="R295">
        <v>129.1</v>
      </c>
      <c r="S295">
        <v>121.9</v>
      </c>
      <c r="T295">
        <v>128</v>
      </c>
      <c r="U295">
        <v>128.69999999999999</v>
      </c>
      <c r="V295">
        <v>115.2</v>
      </c>
      <c r="W295">
        <v>124.5</v>
      </c>
      <c r="X295">
        <v>121.8</v>
      </c>
      <c r="Y295">
        <v>112.8</v>
      </c>
      <c r="Z295">
        <v>121.2</v>
      </c>
      <c r="AA295">
        <v>131.9</v>
      </c>
      <c r="AB295">
        <v>120.8</v>
      </c>
      <c r="AC295">
        <v>120.9</v>
      </c>
      <c r="AD295">
        <v>128.6</v>
      </c>
    </row>
    <row r="296" spans="1:30" x14ac:dyDescent="0.25">
      <c r="A296" t="s">
        <v>33</v>
      </c>
      <c r="B296">
        <v>2016</v>
      </c>
      <c r="C296" t="s">
        <v>45</v>
      </c>
      <c r="D296">
        <v>130.19999999999999</v>
      </c>
      <c r="E296">
        <v>138.5</v>
      </c>
      <c r="F296">
        <v>134.1</v>
      </c>
      <c r="G296">
        <v>132.9</v>
      </c>
      <c r="H296">
        <v>112.6</v>
      </c>
      <c r="I296">
        <v>130.80000000000001</v>
      </c>
      <c r="J296">
        <v>142</v>
      </c>
      <c r="K296">
        <v>174.9</v>
      </c>
      <c r="L296">
        <v>115.6</v>
      </c>
      <c r="M296">
        <v>145.4</v>
      </c>
      <c r="N296">
        <v>122.7</v>
      </c>
      <c r="O296">
        <v>140.30000000000001</v>
      </c>
      <c r="P296">
        <v>135.19999999999999</v>
      </c>
      <c r="Q296">
        <v>144.30000000000001</v>
      </c>
      <c r="R296">
        <v>129.6</v>
      </c>
      <c r="S296">
        <v>122.1</v>
      </c>
      <c r="T296">
        <v>128.5</v>
      </c>
      <c r="U296">
        <v>129.1</v>
      </c>
      <c r="V296">
        <v>116.2</v>
      </c>
      <c r="W296">
        <v>124.7</v>
      </c>
      <c r="X296">
        <v>122.1</v>
      </c>
      <c r="Y296">
        <v>113.4</v>
      </c>
      <c r="Z296">
        <v>121.7</v>
      </c>
      <c r="AA296">
        <v>132.1</v>
      </c>
      <c r="AB296">
        <v>121.3</v>
      </c>
      <c r="AC296">
        <v>121.3</v>
      </c>
      <c r="AD296">
        <v>128.5</v>
      </c>
    </row>
    <row r="297" spans="1:30" x14ac:dyDescent="0.25">
      <c r="A297" t="s">
        <v>33</v>
      </c>
      <c r="B297">
        <v>2016</v>
      </c>
      <c r="C297" t="s">
        <v>46</v>
      </c>
      <c r="D297">
        <v>131.6</v>
      </c>
      <c r="E297">
        <v>138.19999999999999</v>
      </c>
      <c r="F297">
        <v>134.9</v>
      </c>
      <c r="G297">
        <v>133.1</v>
      </c>
      <c r="H297">
        <v>113.5</v>
      </c>
      <c r="I297">
        <v>129.30000000000001</v>
      </c>
      <c r="J297">
        <v>121.1</v>
      </c>
      <c r="K297">
        <v>170.3</v>
      </c>
      <c r="L297">
        <v>115.5</v>
      </c>
      <c r="M297">
        <v>145.5</v>
      </c>
      <c r="N297">
        <v>123.1</v>
      </c>
      <c r="O297">
        <v>140.9</v>
      </c>
      <c r="P297">
        <v>132.80000000000001</v>
      </c>
      <c r="Q297">
        <v>145</v>
      </c>
      <c r="R297">
        <v>130</v>
      </c>
      <c r="S297">
        <v>122.2</v>
      </c>
      <c r="T297">
        <v>128.80000000000001</v>
      </c>
      <c r="U297">
        <v>128.5</v>
      </c>
      <c r="V297">
        <v>117.8</v>
      </c>
      <c r="W297">
        <v>125</v>
      </c>
      <c r="X297">
        <v>122.3</v>
      </c>
      <c r="Y297">
        <v>113.7</v>
      </c>
      <c r="Z297">
        <v>121.8</v>
      </c>
      <c r="AA297">
        <v>132.30000000000001</v>
      </c>
      <c r="AB297">
        <v>119.9</v>
      </c>
      <c r="AC297">
        <v>121.4</v>
      </c>
      <c r="AD297">
        <v>127.6</v>
      </c>
    </row>
    <row r="298" spans="1:30" x14ac:dyDescent="0.25">
      <c r="A298" t="s">
        <v>33</v>
      </c>
      <c r="B298">
        <v>2017</v>
      </c>
      <c r="C298" t="s">
        <v>31</v>
      </c>
      <c r="D298">
        <v>132.19999999999999</v>
      </c>
      <c r="E298">
        <v>138.9</v>
      </c>
      <c r="F298">
        <v>132.6</v>
      </c>
      <c r="G298">
        <v>133.1</v>
      </c>
      <c r="H298">
        <v>114</v>
      </c>
      <c r="I298">
        <v>129.6</v>
      </c>
      <c r="J298">
        <v>118.7</v>
      </c>
      <c r="K298">
        <v>155.1</v>
      </c>
      <c r="L298">
        <v>117.3</v>
      </c>
      <c r="M298">
        <v>144.9</v>
      </c>
      <c r="N298">
        <v>123.2</v>
      </c>
      <c r="O298">
        <v>141.6</v>
      </c>
      <c r="P298">
        <v>132</v>
      </c>
      <c r="Q298">
        <v>145.6</v>
      </c>
      <c r="R298">
        <v>130.19999999999999</v>
      </c>
      <c r="S298">
        <v>122.3</v>
      </c>
      <c r="T298">
        <v>129</v>
      </c>
      <c r="U298">
        <v>129.6</v>
      </c>
      <c r="V298">
        <v>118</v>
      </c>
      <c r="W298">
        <v>125.1</v>
      </c>
      <c r="X298">
        <v>122.6</v>
      </c>
      <c r="Y298">
        <v>115.2</v>
      </c>
      <c r="Z298">
        <v>122</v>
      </c>
      <c r="AA298">
        <v>132.4</v>
      </c>
      <c r="AB298">
        <v>120.9</v>
      </c>
      <c r="AC298">
        <v>122.1</v>
      </c>
      <c r="AD298">
        <v>127.8</v>
      </c>
    </row>
    <row r="299" spans="1:30" x14ac:dyDescent="0.25">
      <c r="A299" t="s">
        <v>33</v>
      </c>
      <c r="B299">
        <v>2017</v>
      </c>
      <c r="C299" t="s">
        <v>35</v>
      </c>
      <c r="D299">
        <v>132.80000000000001</v>
      </c>
      <c r="E299">
        <v>139.80000000000001</v>
      </c>
      <c r="F299">
        <v>129.30000000000001</v>
      </c>
      <c r="G299">
        <v>133.5</v>
      </c>
      <c r="H299">
        <v>114.3</v>
      </c>
      <c r="I299">
        <v>131.4</v>
      </c>
      <c r="J299">
        <v>120.2</v>
      </c>
      <c r="K299">
        <v>143.1</v>
      </c>
      <c r="L299">
        <v>119.5</v>
      </c>
      <c r="M299">
        <v>144</v>
      </c>
      <c r="N299">
        <v>123.4</v>
      </c>
      <c r="O299">
        <v>141.9</v>
      </c>
      <c r="P299">
        <v>132.1</v>
      </c>
      <c r="Q299">
        <v>146.30000000000001</v>
      </c>
      <c r="R299">
        <v>130.5</v>
      </c>
      <c r="S299">
        <v>122.5</v>
      </c>
      <c r="T299">
        <v>129.30000000000001</v>
      </c>
      <c r="U299">
        <v>130.5</v>
      </c>
      <c r="V299">
        <v>119.2</v>
      </c>
      <c r="W299">
        <v>125.3</v>
      </c>
      <c r="X299">
        <v>122.9</v>
      </c>
      <c r="Y299">
        <v>115.5</v>
      </c>
      <c r="Z299">
        <v>122.2</v>
      </c>
      <c r="AA299">
        <v>132.4</v>
      </c>
      <c r="AB299">
        <v>121.7</v>
      </c>
      <c r="AC299">
        <v>122.4</v>
      </c>
      <c r="AD299">
        <v>128.19999999999999</v>
      </c>
    </row>
    <row r="300" spans="1:30" x14ac:dyDescent="0.25">
      <c r="A300" t="s">
        <v>33</v>
      </c>
      <c r="B300">
        <v>2017</v>
      </c>
      <c r="C300" t="s">
        <v>36</v>
      </c>
      <c r="D300">
        <v>132.69999999999999</v>
      </c>
      <c r="E300">
        <v>139.4</v>
      </c>
      <c r="F300">
        <v>128.4</v>
      </c>
      <c r="G300">
        <v>134.9</v>
      </c>
      <c r="H300">
        <v>114</v>
      </c>
      <c r="I300">
        <v>136.80000000000001</v>
      </c>
      <c r="J300">
        <v>122.2</v>
      </c>
      <c r="K300">
        <v>135.80000000000001</v>
      </c>
      <c r="L300">
        <v>120.3</v>
      </c>
      <c r="M300">
        <v>142.6</v>
      </c>
      <c r="N300">
        <v>123.6</v>
      </c>
      <c r="O300">
        <v>142.4</v>
      </c>
      <c r="P300">
        <v>132.6</v>
      </c>
      <c r="Q300">
        <v>147.5</v>
      </c>
      <c r="R300">
        <v>130.80000000000001</v>
      </c>
      <c r="S300">
        <v>122.8</v>
      </c>
      <c r="T300">
        <v>129.6</v>
      </c>
      <c r="U300">
        <v>131.1</v>
      </c>
      <c r="V300">
        <v>120.8</v>
      </c>
      <c r="W300">
        <v>125.6</v>
      </c>
      <c r="X300">
        <v>123.1</v>
      </c>
      <c r="Y300">
        <v>115.6</v>
      </c>
      <c r="Z300">
        <v>122.4</v>
      </c>
      <c r="AA300">
        <v>132.80000000000001</v>
      </c>
      <c r="AB300">
        <v>121.7</v>
      </c>
      <c r="AC300">
        <v>122.6</v>
      </c>
      <c r="AD300">
        <v>128.69999999999999</v>
      </c>
    </row>
    <row r="301" spans="1:30" x14ac:dyDescent="0.25">
      <c r="A301" t="s">
        <v>33</v>
      </c>
      <c r="B301">
        <v>2017</v>
      </c>
      <c r="C301" t="s">
        <v>37</v>
      </c>
      <c r="D301">
        <v>132.69999999999999</v>
      </c>
      <c r="E301">
        <v>140.6</v>
      </c>
      <c r="F301">
        <v>124.5</v>
      </c>
      <c r="G301">
        <v>136.30000000000001</v>
      </c>
      <c r="H301">
        <v>113.5</v>
      </c>
      <c r="I301">
        <v>137.69999999999999</v>
      </c>
      <c r="J301">
        <v>127.1</v>
      </c>
      <c r="K301">
        <v>133.80000000000001</v>
      </c>
      <c r="L301">
        <v>120.8</v>
      </c>
      <c r="M301">
        <v>141.30000000000001</v>
      </c>
      <c r="N301">
        <v>123.8</v>
      </c>
      <c r="O301">
        <v>142.6</v>
      </c>
      <c r="P301">
        <v>133.4</v>
      </c>
      <c r="Q301">
        <v>148</v>
      </c>
      <c r="R301">
        <v>131.19999999999999</v>
      </c>
      <c r="S301">
        <v>123</v>
      </c>
      <c r="T301">
        <v>130</v>
      </c>
      <c r="U301">
        <v>131.69999999999999</v>
      </c>
      <c r="V301">
        <v>121.4</v>
      </c>
      <c r="W301">
        <v>126</v>
      </c>
      <c r="X301">
        <v>123.4</v>
      </c>
      <c r="Y301">
        <v>114.3</v>
      </c>
      <c r="Z301">
        <v>122.6</v>
      </c>
      <c r="AA301">
        <v>133.6</v>
      </c>
      <c r="AB301">
        <v>122.2</v>
      </c>
      <c r="AC301">
        <v>122.5</v>
      </c>
      <c r="AD301">
        <v>129.1</v>
      </c>
    </row>
    <row r="302" spans="1:30" x14ac:dyDescent="0.25">
      <c r="A302" t="s">
        <v>33</v>
      </c>
      <c r="B302">
        <v>2017</v>
      </c>
      <c r="C302" t="s">
        <v>38</v>
      </c>
      <c r="D302">
        <v>132.6</v>
      </c>
      <c r="E302">
        <v>144.1</v>
      </c>
      <c r="F302">
        <v>125.6</v>
      </c>
      <c r="G302">
        <v>136.80000000000001</v>
      </c>
      <c r="H302">
        <v>113.4</v>
      </c>
      <c r="I302">
        <v>135.19999999999999</v>
      </c>
      <c r="J302">
        <v>129.19999999999999</v>
      </c>
      <c r="K302">
        <v>131.5</v>
      </c>
      <c r="L302">
        <v>121</v>
      </c>
      <c r="M302">
        <v>139.9</v>
      </c>
      <c r="N302">
        <v>123.8</v>
      </c>
      <c r="O302">
        <v>142.9</v>
      </c>
      <c r="P302">
        <v>133.6</v>
      </c>
      <c r="Q302">
        <v>148.30000000000001</v>
      </c>
      <c r="R302">
        <v>131.5</v>
      </c>
      <c r="S302">
        <v>123.2</v>
      </c>
      <c r="T302">
        <v>130.19999999999999</v>
      </c>
      <c r="U302">
        <v>132.1</v>
      </c>
      <c r="V302">
        <v>120.1</v>
      </c>
      <c r="W302">
        <v>126.5</v>
      </c>
      <c r="X302">
        <v>123.6</v>
      </c>
      <c r="Y302">
        <v>114.3</v>
      </c>
      <c r="Z302">
        <v>122.8</v>
      </c>
      <c r="AA302">
        <v>133.80000000000001</v>
      </c>
      <c r="AB302">
        <v>122</v>
      </c>
      <c r="AC302">
        <v>122.6</v>
      </c>
      <c r="AD302">
        <v>129.30000000000001</v>
      </c>
    </row>
    <row r="303" spans="1:30" x14ac:dyDescent="0.25">
      <c r="A303" t="s">
        <v>33</v>
      </c>
      <c r="B303">
        <v>2017</v>
      </c>
      <c r="C303" t="s">
        <v>39</v>
      </c>
      <c r="D303">
        <v>132.9</v>
      </c>
      <c r="E303">
        <v>148.69999999999999</v>
      </c>
      <c r="F303">
        <v>128.30000000000001</v>
      </c>
      <c r="G303">
        <v>137.30000000000001</v>
      </c>
      <c r="H303">
        <v>113.5</v>
      </c>
      <c r="I303">
        <v>137.19999999999999</v>
      </c>
      <c r="J303">
        <v>142.19999999999999</v>
      </c>
      <c r="K303">
        <v>128.19999999999999</v>
      </c>
      <c r="L303">
        <v>120.9</v>
      </c>
      <c r="M303">
        <v>138.80000000000001</v>
      </c>
      <c r="N303">
        <v>124.2</v>
      </c>
      <c r="O303">
        <v>143.1</v>
      </c>
      <c r="P303">
        <v>135.69999999999999</v>
      </c>
      <c r="Q303">
        <v>148.6</v>
      </c>
      <c r="R303">
        <v>131.5</v>
      </c>
      <c r="S303">
        <v>123.2</v>
      </c>
      <c r="T303">
        <v>130.19999999999999</v>
      </c>
      <c r="U303">
        <v>131.4</v>
      </c>
      <c r="V303">
        <v>119</v>
      </c>
      <c r="W303">
        <v>126.8</v>
      </c>
      <c r="X303">
        <v>123.8</v>
      </c>
      <c r="Y303">
        <v>113.9</v>
      </c>
      <c r="Z303">
        <v>122.9</v>
      </c>
      <c r="AA303">
        <v>134.30000000000001</v>
      </c>
      <c r="AB303">
        <v>122.5</v>
      </c>
      <c r="AC303">
        <v>122.7</v>
      </c>
      <c r="AD303">
        <v>129.9</v>
      </c>
    </row>
    <row r="304" spans="1:30" x14ac:dyDescent="0.25">
      <c r="A304" t="s">
        <v>33</v>
      </c>
      <c r="B304">
        <v>2017</v>
      </c>
      <c r="C304" t="s">
        <v>40</v>
      </c>
      <c r="D304">
        <v>132.80000000000001</v>
      </c>
      <c r="E304">
        <v>148.4</v>
      </c>
      <c r="F304">
        <v>129.4</v>
      </c>
      <c r="G304">
        <v>137.69999999999999</v>
      </c>
      <c r="H304">
        <v>113.4</v>
      </c>
      <c r="I304">
        <v>139.4</v>
      </c>
      <c r="J304">
        <v>175.1</v>
      </c>
      <c r="K304">
        <v>124.7</v>
      </c>
      <c r="L304">
        <v>121.5</v>
      </c>
      <c r="M304">
        <v>137.80000000000001</v>
      </c>
      <c r="N304">
        <v>124.4</v>
      </c>
      <c r="O304">
        <v>143.69999999999999</v>
      </c>
      <c r="P304">
        <v>139.80000000000001</v>
      </c>
      <c r="Q304">
        <v>150.5</v>
      </c>
      <c r="R304">
        <v>131.6</v>
      </c>
      <c r="S304">
        <v>123.7</v>
      </c>
      <c r="T304">
        <v>130.4</v>
      </c>
      <c r="U304">
        <v>132.6</v>
      </c>
      <c r="V304">
        <v>119.7</v>
      </c>
      <c r="W304">
        <v>127.2</v>
      </c>
      <c r="X304">
        <v>125</v>
      </c>
      <c r="Y304">
        <v>113.2</v>
      </c>
      <c r="Z304">
        <v>123.5</v>
      </c>
      <c r="AA304">
        <v>135.5</v>
      </c>
      <c r="AB304">
        <v>122.4</v>
      </c>
      <c r="AC304">
        <v>123</v>
      </c>
      <c r="AD304">
        <v>131.80000000000001</v>
      </c>
    </row>
    <row r="305" spans="1:30" x14ac:dyDescent="0.25">
      <c r="A305" t="s">
        <v>33</v>
      </c>
      <c r="B305">
        <v>2017</v>
      </c>
      <c r="C305" t="s">
        <v>41</v>
      </c>
      <c r="D305">
        <v>133.19999999999999</v>
      </c>
      <c r="E305">
        <v>143.9</v>
      </c>
      <c r="F305">
        <v>128.30000000000001</v>
      </c>
      <c r="G305">
        <v>138.30000000000001</v>
      </c>
      <c r="H305">
        <v>114.1</v>
      </c>
      <c r="I305">
        <v>142.69999999999999</v>
      </c>
      <c r="J305">
        <v>179.8</v>
      </c>
      <c r="K305">
        <v>123.5</v>
      </c>
      <c r="L305">
        <v>122.1</v>
      </c>
      <c r="M305">
        <v>137.5</v>
      </c>
      <c r="N305">
        <v>124.6</v>
      </c>
      <c r="O305">
        <v>144.5</v>
      </c>
      <c r="P305">
        <v>140.5</v>
      </c>
      <c r="Q305">
        <v>152.1</v>
      </c>
      <c r="R305">
        <v>132.69999999999999</v>
      </c>
      <c r="S305">
        <v>124.3</v>
      </c>
      <c r="T305">
        <v>131.4</v>
      </c>
      <c r="U305">
        <v>134.4</v>
      </c>
      <c r="V305">
        <v>118.9</v>
      </c>
      <c r="W305">
        <v>127.7</v>
      </c>
      <c r="X305">
        <v>125.7</v>
      </c>
      <c r="Y305">
        <v>114.6</v>
      </c>
      <c r="Z305">
        <v>124.1</v>
      </c>
      <c r="AA305">
        <v>135.69999999999999</v>
      </c>
      <c r="AB305">
        <v>123.3</v>
      </c>
      <c r="AC305">
        <v>123.8</v>
      </c>
      <c r="AD305">
        <v>132.69999999999999</v>
      </c>
    </row>
    <row r="306" spans="1:30" x14ac:dyDescent="0.25">
      <c r="A306" t="s">
        <v>33</v>
      </c>
      <c r="B306">
        <v>2017</v>
      </c>
      <c r="C306" t="s">
        <v>42</v>
      </c>
      <c r="D306">
        <v>133.6</v>
      </c>
      <c r="E306">
        <v>143</v>
      </c>
      <c r="F306">
        <v>129.69999999999999</v>
      </c>
      <c r="G306">
        <v>138.69999999999999</v>
      </c>
      <c r="H306">
        <v>114.5</v>
      </c>
      <c r="I306">
        <v>137.5</v>
      </c>
      <c r="J306">
        <v>160.69999999999999</v>
      </c>
      <c r="K306">
        <v>124.5</v>
      </c>
      <c r="L306">
        <v>122.4</v>
      </c>
      <c r="M306">
        <v>137.30000000000001</v>
      </c>
      <c r="N306">
        <v>124.8</v>
      </c>
      <c r="O306">
        <v>145</v>
      </c>
      <c r="P306">
        <v>138</v>
      </c>
      <c r="Q306">
        <v>153.6</v>
      </c>
      <c r="R306">
        <v>133.30000000000001</v>
      </c>
      <c r="S306">
        <v>124.6</v>
      </c>
      <c r="T306">
        <v>132</v>
      </c>
      <c r="U306">
        <v>135.69999999999999</v>
      </c>
      <c r="V306">
        <v>120.6</v>
      </c>
      <c r="W306">
        <v>128.1</v>
      </c>
      <c r="X306">
        <v>126.1</v>
      </c>
      <c r="Y306">
        <v>115.7</v>
      </c>
      <c r="Z306">
        <v>124.5</v>
      </c>
      <c r="AA306">
        <v>135.9</v>
      </c>
      <c r="AB306">
        <v>124.4</v>
      </c>
      <c r="AC306">
        <v>124.5</v>
      </c>
      <c r="AD306">
        <v>132.4</v>
      </c>
    </row>
    <row r="307" spans="1:30" x14ac:dyDescent="0.25">
      <c r="A307" t="s">
        <v>33</v>
      </c>
      <c r="B307">
        <v>2017</v>
      </c>
      <c r="C307" t="s">
        <v>43</v>
      </c>
      <c r="D307">
        <v>133.9</v>
      </c>
      <c r="E307">
        <v>142.80000000000001</v>
      </c>
      <c r="F307">
        <v>131.4</v>
      </c>
      <c r="G307">
        <v>139.1</v>
      </c>
      <c r="H307">
        <v>114.9</v>
      </c>
      <c r="I307">
        <v>135.6</v>
      </c>
      <c r="J307">
        <v>173.2</v>
      </c>
      <c r="K307">
        <v>124.1</v>
      </c>
      <c r="L307">
        <v>122.6</v>
      </c>
      <c r="M307">
        <v>137.80000000000001</v>
      </c>
      <c r="N307">
        <v>125.1</v>
      </c>
      <c r="O307">
        <v>145.5</v>
      </c>
      <c r="P307">
        <v>139.69999999999999</v>
      </c>
      <c r="Q307">
        <v>154.6</v>
      </c>
      <c r="R307">
        <v>134</v>
      </c>
      <c r="S307">
        <v>124.9</v>
      </c>
      <c r="T307">
        <v>132.6</v>
      </c>
      <c r="U307">
        <v>137.30000000000001</v>
      </c>
      <c r="V307">
        <v>122.6</v>
      </c>
      <c r="W307">
        <v>128.30000000000001</v>
      </c>
      <c r="X307">
        <v>126.6</v>
      </c>
      <c r="Y307">
        <v>115</v>
      </c>
      <c r="Z307">
        <v>124.8</v>
      </c>
      <c r="AA307">
        <v>136.30000000000001</v>
      </c>
      <c r="AB307">
        <v>124.6</v>
      </c>
      <c r="AC307">
        <v>124.5</v>
      </c>
      <c r="AD307">
        <v>133.5</v>
      </c>
    </row>
    <row r="308" spans="1:30" x14ac:dyDescent="0.25">
      <c r="A308" t="s">
        <v>33</v>
      </c>
      <c r="B308">
        <v>2017</v>
      </c>
      <c r="C308" t="s">
        <v>45</v>
      </c>
      <c r="D308">
        <v>134.30000000000001</v>
      </c>
      <c r="E308">
        <v>142.1</v>
      </c>
      <c r="F308">
        <v>146.69999999999999</v>
      </c>
      <c r="G308">
        <v>139.5</v>
      </c>
      <c r="H308">
        <v>115.2</v>
      </c>
      <c r="I308">
        <v>136.4</v>
      </c>
      <c r="J308">
        <v>185.2</v>
      </c>
      <c r="K308">
        <v>122.2</v>
      </c>
      <c r="L308">
        <v>123.9</v>
      </c>
      <c r="M308">
        <v>138.30000000000001</v>
      </c>
      <c r="N308">
        <v>125.4</v>
      </c>
      <c r="O308">
        <v>146</v>
      </c>
      <c r="P308">
        <v>141.5</v>
      </c>
      <c r="Q308">
        <v>156.19999999999999</v>
      </c>
      <c r="R308">
        <v>135</v>
      </c>
      <c r="S308">
        <v>125.4</v>
      </c>
      <c r="T308">
        <v>133.5</v>
      </c>
      <c r="U308">
        <v>138.6</v>
      </c>
      <c r="V308">
        <v>125.7</v>
      </c>
      <c r="W308">
        <v>128.80000000000001</v>
      </c>
      <c r="X308">
        <v>127.4</v>
      </c>
      <c r="Y308">
        <v>115.3</v>
      </c>
      <c r="Z308">
        <v>125.1</v>
      </c>
      <c r="AA308">
        <v>136.6</v>
      </c>
      <c r="AB308">
        <v>124.9</v>
      </c>
      <c r="AC308">
        <v>124.9</v>
      </c>
      <c r="AD308">
        <v>134.80000000000001</v>
      </c>
    </row>
    <row r="309" spans="1:30" x14ac:dyDescent="0.25">
      <c r="A309" t="s">
        <v>33</v>
      </c>
      <c r="B309">
        <v>2017</v>
      </c>
      <c r="C309" t="s">
        <v>46</v>
      </c>
      <c r="D309">
        <v>134.4</v>
      </c>
      <c r="E309">
        <v>142.6</v>
      </c>
      <c r="F309">
        <v>145.9</v>
      </c>
      <c r="G309">
        <v>139.5</v>
      </c>
      <c r="H309">
        <v>115.9</v>
      </c>
      <c r="I309">
        <v>135</v>
      </c>
      <c r="J309">
        <v>163.19999999999999</v>
      </c>
      <c r="K309">
        <v>119.8</v>
      </c>
      <c r="L309">
        <v>120.7</v>
      </c>
      <c r="M309">
        <v>139.69999999999999</v>
      </c>
      <c r="N309">
        <v>125.7</v>
      </c>
      <c r="O309">
        <v>146.30000000000001</v>
      </c>
      <c r="P309">
        <v>138.80000000000001</v>
      </c>
      <c r="Q309">
        <v>157</v>
      </c>
      <c r="R309">
        <v>135.6</v>
      </c>
      <c r="S309">
        <v>125.6</v>
      </c>
      <c r="T309">
        <v>134</v>
      </c>
      <c r="U309">
        <v>139.1</v>
      </c>
      <c r="V309">
        <v>126.8</v>
      </c>
      <c r="W309">
        <v>129.30000000000001</v>
      </c>
      <c r="X309">
        <v>128.19999999999999</v>
      </c>
      <c r="Y309">
        <v>115.3</v>
      </c>
      <c r="Z309">
        <v>125.6</v>
      </c>
      <c r="AA309">
        <v>136.69999999999999</v>
      </c>
      <c r="AB309">
        <v>124.6</v>
      </c>
      <c r="AC309">
        <v>125.1</v>
      </c>
      <c r="AD309">
        <v>134.1</v>
      </c>
    </row>
    <row r="310" spans="1:30" x14ac:dyDescent="0.25">
      <c r="A310" t="s">
        <v>33</v>
      </c>
      <c r="B310">
        <v>2018</v>
      </c>
      <c r="C310" t="s">
        <v>31</v>
      </c>
      <c r="D310">
        <v>134.6</v>
      </c>
      <c r="E310">
        <v>143.69999999999999</v>
      </c>
      <c r="F310">
        <v>143.6</v>
      </c>
      <c r="G310">
        <v>139.6</v>
      </c>
      <c r="H310">
        <v>116.4</v>
      </c>
      <c r="I310">
        <v>133.80000000000001</v>
      </c>
      <c r="J310">
        <v>150.5</v>
      </c>
      <c r="K310">
        <v>118.4</v>
      </c>
      <c r="L310">
        <v>117.3</v>
      </c>
      <c r="M310">
        <v>140.5</v>
      </c>
      <c r="N310">
        <v>125.9</v>
      </c>
      <c r="O310">
        <v>146.80000000000001</v>
      </c>
      <c r="P310">
        <v>137.19999999999999</v>
      </c>
      <c r="Q310">
        <v>157.69999999999999</v>
      </c>
      <c r="R310">
        <v>136</v>
      </c>
      <c r="S310">
        <v>125.9</v>
      </c>
      <c r="T310">
        <v>134.4</v>
      </c>
      <c r="U310">
        <v>140.4</v>
      </c>
      <c r="V310">
        <v>127.3</v>
      </c>
      <c r="W310">
        <v>129.5</v>
      </c>
      <c r="X310">
        <v>129</v>
      </c>
      <c r="Y310">
        <v>116.3</v>
      </c>
      <c r="Z310">
        <v>126.2</v>
      </c>
      <c r="AA310">
        <v>137.1</v>
      </c>
      <c r="AB310">
        <v>125.5</v>
      </c>
      <c r="AC310">
        <v>125.8</v>
      </c>
      <c r="AD310">
        <v>134.1</v>
      </c>
    </row>
    <row r="311" spans="1:30" x14ac:dyDescent="0.25">
      <c r="A311" t="s">
        <v>33</v>
      </c>
      <c r="B311">
        <v>2018</v>
      </c>
      <c r="C311" t="s">
        <v>35</v>
      </c>
      <c r="D311">
        <v>134.80000000000001</v>
      </c>
      <c r="E311">
        <v>143</v>
      </c>
      <c r="F311">
        <v>139.9</v>
      </c>
      <c r="G311">
        <v>139.9</v>
      </c>
      <c r="H311">
        <v>116.2</v>
      </c>
      <c r="I311">
        <v>135.5</v>
      </c>
      <c r="J311">
        <v>136.9</v>
      </c>
      <c r="K311">
        <v>117</v>
      </c>
      <c r="L311">
        <v>115.4</v>
      </c>
      <c r="M311">
        <v>140.69999999999999</v>
      </c>
      <c r="N311">
        <v>125.9</v>
      </c>
      <c r="O311">
        <v>147.1</v>
      </c>
      <c r="P311">
        <v>135.6</v>
      </c>
      <c r="Q311">
        <v>159.30000000000001</v>
      </c>
      <c r="R311">
        <v>136.30000000000001</v>
      </c>
      <c r="S311">
        <v>126.1</v>
      </c>
      <c r="T311">
        <v>134.69999999999999</v>
      </c>
      <c r="U311">
        <v>141.30000000000001</v>
      </c>
      <c r="V311">
        <v>127.3</v>
      </c>
      <c r="W311">
        <v>129.9</v>
      </c>
      <c r="X311">
        <v>129.80000000000001</v>
      </c>
      <c r="Y311">
        <v>117.4</v>
      </c>
      <c r="Z311">
        <v>126.5</v>
      </c>
      <c r="AA311">
        <v>137.19999999999999</v>
      </c>
      <c r="AB311">
        <v>126.2</v>
      </c>
      <c r="AC311">
        <v>126.5</v>
      </c>
      <c r="AD311">
        <v>134</v>
      </c>
    </row>
    <row r="312" spans="1:30" x14ac:dyDescent="0.25">
      <c r="A312" t="s">
        <v>33</v>
      </c>
      <c r="B312">
        <v>2018</v>
      </c>
      <c r="C312" t="s">
        <v>36</v>
      </c>
      <c r="D312">
        <v>135</v>
      </c>
      <c r="E312">
        <v>143.1</v>
      </c>
      <c r="F312">
        <v>135.5</v>
      </c>
      <c r="G312">
        <v>139.9</v>
      </c>
      <c r="H312">
        <v>116.5</v>
      </c>
      <c r="I312">
        <v>138.5</v>
      </c>
      <c r="J312">
        <v>128</v>
      </c>
      <c r="K312">
        <v>115.5</v>
      </c>
      <c r="L312">
        <v>114.2</v>
      </c>
      <c r="M312">
        <v>140.69999999999999</v>
      </c>
      <c r="N312">
        <v>126.2</v>
      </c>
      <c r="O312">
        <v>147.6</v>
      </c>
      <c r="P312">
        <v>134.80000000000001</v>
      </c>
      <c r="Q312">
        <v>159.69999999999999</v>
      </c>
      <c r="R312">
        <v>136.69999999999999</v>
      </c>
      <c r="S312">
        <v>126.7</v>
      </c>
      <c r="T312">
        <v>135.19999999999999</v>
      </c>
      <c r="U312">
        <v>142</v>
      </c>
      <c r="V312">
        <v>126.4</v>
      </c>
      <c r="W312">
        <v>130.80000000000001</v>
      </c>
      <c r="X312">
        <v>130.5</v>
      </c>
      <c r="Y312">
        <v>117.8</v>
      </c>
      <c r="Z312">
        <v>126.8</v>
      </c>
      <c r="AA312">
        <v>137.80000000000001</v>
      </c>
      <c r="AB312">
        <v>126.7</v>
      </c>
      <c r="AC312">
        <v>127.1</v>
      </c>
      <c r="AD312">
        <v>134</v>
      </c>
    </row>
    <row r="313" spans="1:30" x14ac:dyDescent="0.25">
      <c r="A313" t="s">
        <v>33</v>
      </c>
      <c r="B313">
        <v>2018</v>
      </c>
      <c r="C313" t="s">
        <v>37</v>
      </c>
      <c r="D313">
        <v>135</v>
      </c>
      <c r="E313">
        <v>144.30000000000001</v>
      </c>
      <c r="F313">
        <v>130.80000000000001</v>
      </c>
      <c r="G313">
        <v>140.30000000000001</v>
      </c>
      <c r="H313">
        <v>116.6</v>
      </c>
      <c r="I313">
        <v>150.1</v>
      </c>
      <c r="J313">
        <v>127.6</v>
      </c>
      <c r="K313">
        <v>114</v>
      </c>
      <c r="L313">
        <v>110.6</v>
      </c>
      <c r="M313">
        <v>140.19999999999999</v>
      </c>
      <c r="N313">
        <v>126.5</v>
      </c>
      <c r="O313">
        <v>148.30000000000001</v>
      </c>
      <c r="P313">
        <v>135.69999999999999</v>
      </c>
      <c r="Q313">
        <v>159.19999999999999</v>
      </c>
      <c r="R313">
        <v>137.80000000000001</v>
      </c>
      <c r="S313">
        <v>127.4</v>
      </c>
      <c r="T313">
        <v>136.19999999999999</v>
      </c>
      <c r="U313">
        <v>142.9</v>
      </c>
      <c r="V313">
        <v>124.6</v>
      </c>
      <c r="W313">
        <v>131.80000000000001</v>
      </c>
      <c r="X313">
        <v>131.30000000000001</v>
      </c>
      <c r="Y313">
        <v>118.9</v>
      </c>
      <c r="Z313">
        <v>127.6</v>
      </c>
      <c r="AA313">
        <v>139.69999999999999</v>
      </c>
      <c r="AB313">
        <v>127.6</v>
      </c>
      <c r="AC313">
        <v>128.19999999999999</v>
      </c>
      <c r="AD313">
        <v>134.80000000000001</v>
      </c>
    </row>
    <row r="314" spans="1:30" x14ac:dyDescent="0.25">
      <c r="A314" t="s">
        <v>33</v>
      </c>
      <c r="B314">
        <v>2018</v>
      </c>
      <c r="C314" t="s">
        <v>38</v>
      </c>
      <c r="D314">
        <v>135</v>
      </c>
      <c r="E314">
        <v>148.19999999999999</v>
      </c>
      <c r="F314">
        <v>130.5</v>
      </c>
      <c r="G314">
        <v>140.69999999999999</v>
      </c>
      <c r="H314">
        <v>116.4</v>
      </c>
      <c r="I314">
        <v>151.30000000000001</v>
      </c>
      <c r="J314">
        <v>131.4</v>
      </c>
      <c r="K314">
        <v>112.8</v>
      </c>
      <c r="L314">
        <v>105.3</v>
      </c>
      <c r="M314">
        <v>139.6</v>
      </c>
      <c r="N314">
        <v>126.6</v>
      </c>
      <c r="O314">
        <v>148.69999999999999</v>
      </c>
      <c r="P314">
        <v>136.4</v>
      </c>
      <c r="Q314">
        <v>160.30000000000001</v>
      </c>
      <c r="R314">
        <v>138.6</v>
      </c>
      <c r="S314">
        <v>127.9</v>
      </c>
      <c r="T314">
        <v>137</v>
      </c>
      <c r="U314">
        <v>143.19999999999999</v>
      </c>
      <c r="V314">
        <v>124.7</v>
      </c>
      <c r="W314">
        <v>132.5</v>
      </c>
      <c r="X314">
        <v>132</v>
      </c>
      <c r="Y314">
        <v>119.8</v>
      </c>
      <c r="Z314">
        <v>128</v>
      </c>
      <c r="AA314">
        <v>140.4</v>
      </c>
      <c r="AB314">
        <v>128.1</v>
      </c>
      <c r="AC314">
        <v>128.9</v>
      </c>
      <c r="AD314">
        <v>135.4</v>
      </c>
    </row>
    <row r="315" spans="1:30" x14ac:dyDescent="0.25">
      <c r="A315" t="s">
        <v>33</v>
      </c>
      <c r="B315">
        <v>2018</v>
      </c>
      <c r="C315" t="s">
        <v>39</v>
      </c>
      <c r="D315">
        <v>135.30000000000001</v>
      </c>
      <c r="E315">
        <v>149.69999999999999</v>
      </c>
      <c r="F315">
        <v>133.9</v>
      </c>
      <c r="G315">
        <v>140.80000000000001</v>
      </c>
      <c r="H315">
        <v>116.6</v>
      </c>
      <c r="I315">
        <v>152.19999999999999</v>
      </c>
      <c r="J315">
        <v>144</v>
      </c>
      <c r="K315">
        <v>112.3</v>
      </c>
      <c r="L315">
        <v>108.4</v>
      </c>
      <c r="M315">
        <v>140</v>
      </c>
      <c r="N315">
        <v>126.7</v>
      </c>
      <c r="O315">
        <v>149</v>
      </c>
      <c r="P315">
        <v>138.4</v>
      </c>
      <c r="Q315">
        <v>161</v>
      </c>
      <c r="R315">
        <v>138.9</v>
      </c>
      <c r="S315">
        <v>128.69999999999999</v>
      </c>
      <c r="T315">
        <v>137.4</v>
      </c>
      <c r="U315">
        <v>142.5</v>
      </c>
      <c r="V315">
        <v>126.5</v>
      </c>
      <c r="W315">
        <v>133.1</v>
      </c>
      <c r="X315">
        <v>132.6</v>
      </c>
      <c r="Y315">
        <v>120.4</v>
      </c>
      <c r="Z315">
        <v>128.5</v>
      </c>
      <c r="AA315">
        <v>141.19999999999999</v>
      </c>
      <c r="AB315">
        <v>128.19999999999999</v>
      </c>
      <c r="AC315">
        <v>129.5</v>
      </c>
      <c r="AD315">
        <v>136.19999999999999</v>
      </c>
    </row>
    <row r="316" spans="1:30" x14ac:dyDescent="0.25">
      <c r="A316" t="s">
        <v>33</v>
      </c>
      <c r="B316">
        <v>2018</v>
      </c>
      <c r="C316" t="s">
        <v>40</v>
      </c>
      <c r="D316">
        <v>135.6</v>
      </c>
      <c r="E316">
        <v>148.6</v>
      </c>
      <c r="F316">
        <v>139.1</v>
      </c>
      <c r="G316">
        <v>141</v>
      </c>
      <c r="H316">
        <v>116.7</v>
      </c>
      <c r="I316">
        <v>149.69999999999999</v>
      </c>
      <c r="J316">
        <v>159.19999999999999</v>
      </c>
      <c r="K316">
        <v>112.6</v>
      </c>
      <c r="L316">
        <v>111.8</v>
      </c>
      <c r="M316">
        <v>140.30000000000001</v>
      </c>
      <c r="N316">
        <v>126.8</v>
      </c>
      <c r="O316">
        <v>149.4</v>
      </c>
      <c r="P316">
        <v>140.30000000000001</v>
      </c>
      <c r="Q316">
        <v>161.4</v>
      </c>
      <c r="R316">
        <v>139.6</v>
      </c>
      <c r="S316">
        <v>128.9</v>
      </c>
      <c r="T316">
        <v>137.9</v>
      </c>
      <c r="U316">
        <v>143.6</v>
      </c>
      <c r="V316">
        <v>128.1</v>
      </c>
      <c r="W316">
        <v>133.6</v>
      </c>
      <c r="X316">
        <v>133.6</v>
      </c>
      <c r="Y316">
        <v>120.1</v>
      </c>
      <c r="Z316">
        <v>129</v>
      </c>
      <c r="AA316">
        <v>144</v>
      </c>
      <c r="AB316">
        <v>128.19999999999999</v>
      </c>
      <c r="AC316">
        <v>130.19999999999999</v>
      </c>
      <c r="AD316">
        <v>137.5</v>
      </c>
    </row>
    <row r="317" spans="1:30" x14ac:dyDescent="0.25">
      <c r="A317" t="s">
        <v>33</v>
      </c>
      <c r="B317">
        <v>2018</v>
      </c>
      <c r="C317" t="s">
        <v>41</v>
      </c>
      <c r="D317">
        <v>136.5</v>
      </c>
      <c r="E317">
        <v>146.4</v>
      </c>
      <c r="F317">
        <v>136.6</v>
      </c>
      <c r="G317">
        <v>141.19999999999999</v>
      </c>
      <c r="H317">
        <v>117.4</v>
      </c>
      <c r="I317">
        <v>146.30000000000001</v>
      </c>
      <c r="J317">
        <v>157.30000000000001</v>
      </c>
      <c r="K317">
        <v>113.6</v>
      </c>
      <c r="L317">
        <v>113.3</v>
      </c>
      <c r="M317">
        <v>141.1</v>
      </c>
      <c r="N317">
        <v>127.4</v>
      </c>
      <c r="O317">
        <v>150.4</v>
      </c>
      <c r="P317">
        <v>140.1</v>
      </c>
      <c r="Q317">
        <v>162.1</v>
      </c>
      <c r="R317">
        <v>140</v>
      </c>
      <c r="S317">
        <v>129</v>
      </c>
      <c r="T317">
        <v>138.30000000000001</v>
      </c>
      <c r="U317">
        <v>144.6</v>
      </c>
      <c r="V317">
        <v>129.80000000000001</v>
      </c>
      <c r="W317">
        <v>134.4</v>
      </c>
      <c r="X317">
        <v>134.9</v>
      </c>
      <c r="Y317">
        <v>120.7</v>
      </c>
      <c r="Z317">
        <v>129.80000000000001</v>
      </c>
      <c r="AA317">
        <v>145.30000000000001</v>
      </c>
      <c r="AB317">
        <v>128.30000000000001</v>
      </c>
      <c r="AC317">
        <v>131</v>
      </c>
      <c r="AD317">
        <v>138</v>
      </c>
    </row>
    <row r="318" spans="1:30" x14ac:dyDescent="0.25">
      <c r="A318" t="s">
        <v>33</v>
      </c>
      <c r="B318">
        <v>2018</v>
      </c>
      <c r="C318" t="s">
        <v>42</v>
      </c>
      <c r="D318">
        <v>137</v>
      </c>
      <c r="E318">
        <v>143.1</v>
      </c>
      <c r="F318">
        <v>132.80000000000001</v>
      </c>
      <c r="G318">
        <v>141.5</v>
      </c>
      <c r="H318">
        <v>117.8</v>
      </c>
      <c r="I318">
        <v>140</v>
      </c>
      <c r="J318">
        <v>151.30000000000001</v>
      </c>
      <c r="K318">
        <v>113.5</v>
      </c>
      <c r="L318">
        <v>112.3</v>
      </c>
      <c r="M318">
        <v>141.19999999999999</v>
      </c>
      <c r="N318">
        <v>127.7</v>
      </c>
      <c r="O318">
        <v>151.30000000000001</v>
      </c>
      <c r="P318">
        <v>138.9</v>
      </c>
      <c r="Q318">
        <v>163.30000000000001</v>
      </c>
      <c r="R318">
        <v>140.80000000000001</v>
      </c>
      <c r="S318">
        <v>129.30000000000001</v>
      </c>
      <c r="T318">
        <v>139.1</v>
      </c>
      <c r="U318">
        <v>145.30000000000001</v>
      </c>
      <c r="V318">
        <v>131.19999999999999</v>
      </c>
      <c r="W318">
        <v>134.9</v>
      </c>
      <c r="X318">
        <v>135.69999999999999</v>
      </c>
      <c r="Y318">
        <v>122.5</v>
      </c>
      <c r="Z318">
        <v>130.19999999999999</v>
      </c>
      <c r="AA318">
        <v>145.19999999999999</v>
      </c>
      <c r="AB318">
        <v>129.30000000000001</v>
      </c>
      <c r="AC318">
        <v>131.9</v>
      </c>
      <c r="AD318">
        <v>138.1</v>
      </c>
    </row>
    <row r="319" spans="1:30" x14ac:dyDescent="0.25">
      <c r="A319" t="s">
        <v>33</v>
      </c>
      <c r="B319">
        <v>2018</v>
      </c>
      <c r="C319" t="s">
        <v>43</v>
      </c>
      <c r="D319">
        <v>137.6</v>
      </c>
      <c r="E319">
        <v>144.9</v>
      </c>
      <c r="F319">
        <v>133.5</v>
      </c>
      <c r="G319">
        <v>141.5</v>
      </c>
      <c r="H319">
        <v>118</v>
      </c>
      <c r="I319">
        <v>139.5</v>
      </c>
      <c r="J319">
        <v>153</v>
      </c>
      <c r="K319">
        <v>113.2</v>
      </c>
      <c r="L319">
        <v>112.8</v>
      </c>
      <c r="M319">
        <v>141.1</v>
      </c>
      <c r="N319">
        <v>127.6</v>
      </c>
      <c r="O319">
        <v>152</v>
      </c>
      <c r="P319">
        <v>139.4</v>
      </c>
      <c r="Q319">
        <v>164</v>
      </c>
      <c r="R319">
        <v>141.5</v>
      </c>
      <c r="S319">
        <v>129.80000000000001</v>
      </c>
      <c r="T319">
        <v>139.69999999999999</v>
      </c>
      <c r="U319">
        <v>146.30000000000001</v>
      </c>
      <c r="V319">
        <v>133.4</v>
      </c>
      <c r="W319">
        <v>135.1</v>
      </c>
      <c r="X319">
        <v>136.19999999999999</v>
      </c>
      <c r="Y319">
        <v>123.3</v>
      </c>
      <c r="Z319">
        <v>130.69999999999999</v>
      </c>
      <c r="AA319">
        <v>145.5</v>
      </c>
      <c r="AB319">
        <v>130.4</v>
      </c>
      <c r="AC319">
        <v>132.5</v>
      </c>
      <c r="AD319">
        <v>138.9</v>
      </c>
    </row>
    <row r="320" spans="1:30" x14ac:dyDescent="0.25">
      <c r="A320" t="s">
        <v>33</v>
      </c>
      <c r="B320">
        <v>2018</v>
      </c>
      <c r="C320" t="s">
        <v>45</v>
      </c>
      <c r="D320">
        <v>138.1</v>
      </c>
      <c r="E320">
        <v>146.30000000000001</v>
      </c>
      <c r="F320">
        <v>137.80000000000001</v>
      </c>
      <c r="G320">
        <v>141.6</v>
      </c>
      <c r="H320">
        <v>118.1</v>
      </c>
      <c r="I320">
        <v>141.5</v>
      </c>
      <c r="J320">
        <v>145.19999999999999</v>
      </c>
      <c r="K320">
        <v>115.3</v>
      </c>
      <c r="L320">
        <v>112.5</v>
      </c>
      <c r="M320">
        <v>141.4</v>
      </c>
      <c r="N320">
        <v>128</v>
      </c>
      <c r="O320">
        <v>152.6</v>
      </c>
      <c r="P320">
        <v>139.1</v>
      </c>
      <c r="Q320">
        <v>164.4</v>
      </c>
      <c r="R320">
        <v>142.4</v>
      </c>
      <c r="S320">
        <v>130.19999999999999</v>
      </c>
      <c r="T320">
        <v>140.5</v>
      </c>
      <c r="U320">
        <v>146.9</v>
      </c>
      <c r="V320">
        <v>136.69999999999999</v>
      </c>
      <c r="W320">
        <v>135.80000000000001</v>
      </c>
      <c r="X320">
        <v>136.80000000000001</v>
      </c>
      <c r="Y320">
        <v>121.2</v>
      </c>
      <c r="Z320">
        <v>131.30000000000001</v>
      </c>
      <c r="AA320">
        <v>146.1</v>
      </c>
      <c r="AB320">
        <v>130.5</v>
      </c>
      <c r="AC320">
        <v>132.19999999999999</v>
      </c>
      <c r="AD320">
        <v>139</v>
      </c>
    </row>
    <row r="321" spans="1:30" x14ac:dyDescent="0.25">
      <c r="A321" t="s">
        <v>33</v>
      </c>
      <c r="B321">
        <v>2018</v>
      </c>
      <c r="C321" t="s">
        <v>46</v>
      </c>
      <c r="D321">
        <v>138.5</v>
      </c>
      <c r="E321">
        <v>147.80000000000001</v>
      </c>
      <c r="F321">
        <v>141.1</v>
      </c>
      <c r="G321">
        <v>141.6</v>
      </c>
      <c r="H321">
        <v>118.1</v>
      </c>
      <c r="I321">
        <v>138.5</v>
      </c>
      <c r="J321">
        <v>132.4</v>
      </c>
      <c r="K321">
        <v>117.5</v>
      </c>
      <c r="L321">
        <v>111</v>
      </c>
      <c r="M321">
        <v>141.5</v>
      </c>
      <c r="N321">
        <v>128.1</v>
      </c>
      <c r="O321">
        <v>152.9</v>
      </c>
      <c r="P321">
        <v>137.6</v>
      </c>
      <c r="Q321">
        <v>164.6</v>
      </c>
      <c r="R321">
        <v>142.69999999999999</v>
      </c>
      <c r="S321">
        <v>130.30000000000001</v>
      </c>
      <c r="T321">
        <v>140.80000000000001</v>
      </c>
      <c r="U321">
        <v>146.5</v>
      </c>
      <c r="V321">
        <v>132.4</v>
      </c>
      <c r="W321">
        <v>136.19999999999999</v>
      </c>
      <c r="X321">
        <v>137.30000000000001</v>
      </c>
      <c r="Y321">
        <v>118.8</v>
      </c>
      <c r="Z321">
        <v>131.69999999999999</v>
      </c>
      <c r="AA321">
        <v>146.5</v>
      </c>
      <c r="AB321">
        <v>130.80000000000001</v>
      </c>
      <c r="AC321">
        <v>131.69999999999999</v>
      </c>
      <c r="AD321">
        <v>138</v>
      </c>
    </row>
    <row r="322" spans="1:30" x14ac:dyDescent="0.25">
      <c r="A322" t="s">
        <v>33</v>
      </c>
      <c r="B322">
        <v>2019</v>
      </c>
      <c r="C322" t="s">
        <v>31</v>
      </c>
      <c r="D322">
        <v>138.30000000000001</v>
      </c>
      <c r="E322">
        <v>149.4</v>
      </c>
      <c r="F322">
        <v>143.5</v>
      </c>
      <c r="G322">
        <v>141.69999999999999</v>
      </c>
      <c r="H322">
        <v>118.1</v>
      </c>
      <c r="I322">
        <v>135.19999999999999</v>
      </c>
      <c r="J322">
        <v>130.5</v>
      </c>
      <c r="K322">
        <v>118.2</v>
      </c>
      <c r="L322">
        <v>110.4</v>
      </c>
      <c r="M322">
        <v>140.4</v>
      </c>
      <c r="N322">
        <v>128.1</v>
      </c>
      <c r="O322">
        <v>153.19999999999999</v>
      </c>
      <c r="P322">
        <v>137.30000000000001</v>
      </c>
      <c r="Q322">
        <v>164.7</v>
      </c>
      <c r="R322">
        <v>143</v>
      </c>
      <c r="S322">
        <v>130.4</v>
      </c>
      <c r="T322">
        <v>141.1</v>
      </c>
      <c r="U322">
        <v>147.69999999999999</v>
      </c>
      <c r="V322">
        <v>128.6</v>
      </c>
      <c r="W322">
        <v>136.30000000000001</v>
      </c>
      <c r="X322">
        <v>137.80000000000001</v>
      </c>
      <c r="Y322">
        <v>118.6</v>
      </c>
      <c r="Z322">
        <v>131.9</v>
      </c>
      <c r="AA322">
        <v>146.6</v>
      </c>
      <c r="AB322">
        <v>131.69999999999999</v>
      </c>
      <c r="AC322">
        <v>131.80000000000001</v>
      </c>
      <c r="AD322">
        <v>138</v>
      </c>
    </row>
    <row r="323" spans="1:30" x14ac:dyDescent="0.25">
      <c r="A323" t="s">
        <v>33</v>
      </c>
      <c r="B323">
        <v>2019</v>
      </c>
      <c r="C323" t="s">
        <v>35</v>
      </c>
      <c r="D323">
        <v>139.4</v>
      </c>
      <c r="E323">
        <v>150.1</v>
      </c>
      <c r="F323">
        <v>145.30000000000001</v>
      </c>
      <c r="G323">
        <v>141.69999999999999</v>
      </c>
      <c r="H323">
        <v>118.4</v>
      </c>
      <c r="I323">
        <v>137</v>
      </c>
      <c r="J323">
        <v>131.6</v>
      </c>
      <c r="K323">
        <v>119.9</v>
      </c>
      <c r="L323">
        <v>110.4</v>
      </c>
      <c r="M323">
        <v>140.80000000000001</v>
      </c>
      <c r="N323">
        <v>128.30000000000001</v>
      </c>
      <c r="O323">
        <v>153.5</v>
      </c>
      <c r="P323">
        <v>138</v>
      </c>
      <c r="Q323">
        <v>164.9</v>
      </c>
      <c r="R323">
        <v>143.30000000000001</v>
      </c>
      <c r="S323">
        <v>130.80000000000001</v>
      </c>
      <c r="T323">
        <v>141.4</v>
      </c>
      <c r="U323">
        <v>148.5</v>
      </c>
      <c r="V323">
        <v>127.1</v>
      </c>
      <c r="W323">
        <v>136.6</v>
      </c>
      <c r="X323">
        <v>138.5</v>
      </c>
      <c r="Y323">
        <v>119.2</v>
      </c>
      <c r="Z323">
        <v>132.19999999999999</v>
      </c>
      <c r="AA323">
        <v>146.6</v>
      </c>
      <c r="AB323">
        <v>133</v>
      </c>
      <c r="AC323">
        <v>132.4</v>
      </c>
      <c r="AD323">
        <v>138.6</v>
      </c>
    </row>
    <row r="324" spans="1:30" x14ac:dyDescent="0.25">
      <c r="A324" t="s">
        <v>33</v>
      </c>
      <c r="B324">
        <v>2019</v>
      </c>
      <c r="C324" t="s">
        <v>36</v>
      </c>
      <c r="D324">
        <v>139.69999999999999</v>
      </c>
      <c r="E324">
        <v>151.1</v>
      </c>
      <c r="F324">
        <v>142.9</v>
      </c>
      <c r="G324">
        <v>141.9</v>
      </c>
      <c r="H324">
        <v>118.4</v>
      </c>
      <c r="I324">
        <v>139.4</v>
      </c>
      <c r="J324">
        <v>141.19999999999999</v>
      </c>
      <c r="K324">
        <v>120.7</v>
      </c>
      <c r="L324">
        <v>110.4</v>
      </c>
      <c r="M324">
        <v>140.69999999999999</v>
      </c>
      <c r="N324">
        <v>128.5</v>
      </c>
      <c r="O324">
        <v>153.9</v>
      </c>
      <c r="P324">
        <v>139.6</v>
      </c>
      <c r="Q324">
        <v>165.3</v>
      </c>
      <c r="R324">
        <v>143.5</v>
      </c>
      <c r="S324">
        <v>131.19999999999999</v>
      </c>
      <c r="T324">
        <v>141.6</v>
      </c>
      <c r="U324">
        <v>149</v>
      </c>
      <c r="V324">
        <v>128.80000000000001</v>
      </c>
      <c r="W324">
        <v>136.80000000000001</v>
      </c>
      <c r="X324">
        <v>139.19999999999999</v>
      </c>
      <c r="Y324">
        <v>119.9</v>
      </c>
      <c r="Z324">
        <v>133</v>
      </c>
      <c r="AA324">
        <v>146.69999999999999</v>
      </c>
      <c r="AB324">
        <v>132.5</v>
      </c>
      <c r="AC324">
        <v>132.80000000000001</v>
      </c>
      <c r="AD324">
        <v>139.5</v>
      </c>
    </row>
    <row r="325" spans="1:30" x14ac:dyDescent="0.25">
      <c r="A325" t="s">
        <v>33</v>
      </c>
      <c r="B325">
        <v>2019</v>
      </c>
      <c r="C325" t="s">
        <v>38</v>
      </c>
      <c r="D325">
        <v>140.4</v>
      </c>
      <c r="E325">
        <v>156.69999999999999</v>
      </c>
      <c r="F325">
        <v>138.30000000000001</v>
      </c>
      <c r="G325">
        <v>142.4</v>
      </c>
      <c r="H325">
        <v>118.6</v>
      </c>
      <c r="I325">
        <v>149.69999999999999</v>
      </c>
      <c r="J325">
        <v>161.6</v>
      </c>
      <c r="K325">
        <v>124.4</v>
      </c>
      <c r="L325">
        <v>111.2</v>
      </c>
      <c r="M325">
        <v>141</v>
      </c>
      <c r="N325">
        <v>128.9</v>
      </c>
      <c r="O325">
        <v>154.5</v>
      </c>
      <c r="P325">
        <v>143.80000000000001</v>
      </c>
      <c r="Q325">
        <v>166.2</v>
      </c>
      <c r="R325">
        <v>144</v>
      </c>
      <c r="S325">
        <v>131.69999999999999</v>
      </c>
      <c r="T325">
        <v>142.19999999999999</v>
      </c>
      <c r="U325">
        <v>150.1</v>
      </c>
      <c r="V325">
        <v>129.4</v>
      </c>
      <c r="W325">
        <v>137.19999999999999</v>
      </c>
      <c r="X325">
        <v>139.80000000000001</v>
      </c>
      <c r="Y325">
        <v>120.1</v>
      </c>
      <c r="Z325">
        <v>134</v>
      </c>
      <c r="AA325">
        <v>148</v>
      </c>
      <c r="AB325">
        <v>132.6</v>
      </c>
      <c r="AC325">
        <v>133.30000000000001</v>
      </c>
      <c r="AD325">
        <v>141.5</v>
      </c>
    </row>
    <row r="326" spans="1:30" x14ac:dyDescent="0.25">
      <c r="A326" t="s">
        <v>33</v>
      </c>
      <c r="B326">
        <v>2019</v>
      </c>
      <c r="C326" t="s">
        <v>39</v>
      </c>
      <c r="D326">
        <v>140.69999999999999</v>
      </c>
      <c r="E326">
        <v>159.6</v>
      </c>
      <c r="F326">
        <v>140.4</v>
      </c>
      <c r="G326">
        <v>143.4</v>
      </c>
      <c r="H326">
        <v>118.6</v>
      </c>
      <c r="I326">
        <v>150.9</v>
      </c>
      <c r="J326">
        <v>169.8</v>
      </c>
      <c r="K326">
        <v>127.4</v>
      </c>
      <c r="L326">
        <v>111.8</v>
      </c>
      <c r="M326">
        <v>141</v>
      </c>
      <c r="N326">
        <v>129</v>
      </c>
      <c r="O326">
        <v>155.1</v>
      </c>
      <c r="P326">
        <v>145.6</v>
      </c>
      <c r="Q326">
        <v>166.7</v>
      </c>
      <c r="R326">
        <v>144.30000000000001</v>
      </c>
      <c r="S326">
        <v>131.69999999999999</v>
      </c>
      <c r="T326">
        <v>142.4</v>
      </c>
      <c r="U326">
        <v>149.4</v>
      </c>
      <c r="V326">
        <v>130.5</v>
      </c>
      <c r="W326">
        <v>137.4</v>
      </c>
      <c r="X326">
        <v>140.30000000000001</v>
      </c>
      <c r="Y326">
        <v>119.6</v>
      </c>
      <c r="Z326">
        <v>134.30000000000001</v>
      </c>
      <c r="AA326">
        <v>148.9</v>
      </c>
      <c r="AB326">
        <v>133.69999999999999</v>
      </c>
      <c r="AC326">
        <v>133.6</v>
      </c>
      <c r="AD326">
        <v>142.1</v>
      </c>
    </row>
    <row r="327" spans="1:30" x14ac:dyDescent="0.25">
      <c r="A327" t="s">
        <v>33</v>
      </c>
      <c r="B327">
        <v>2019</v>
      </c>
      <c r="C327" t="s">
        <v>40</v>
      </c>
      <c r="D327">
        <v>141.4</v>
      </c>
      <c r="E327">
        <v>160.19999999999999</v>
      </c>
      <c r="F327">
        <v>142.5</v>
      </c>
      <c r="G327">
        <v>144.1</v>
      </c>
      <c r="H327">
        <v>119.3</v>
      </c>
      <c r="I327">
        <v>154.69999999999999</v>
      </c>
      <c r="J327">
        <v>180.1</v>
      </c>
      <c r="K327">
        <v>128.9</v>
      </c>
      <c r="L327">
        <v>111.8</v>
      </c>
      <c r="M327">
        <v>141.6</v>
      </c>
      <c r="N327">
        <v>129.5</v>
      </c>
      <c r="O327">
        <v>155.6</v>
      </c>
      <c r="P327">
        <v>147.69999999999999</v>
      </c>
      <c r="Q327">
        <v>167.2</v>
      </c>
      <c r="R327">
        <v>144.69999999999999</v>
      </c>
      <c r="S327">
        <v>131.9</v>
      </c>
      <c r="T327">
        <v>142.69999999999999</v>
      </c>
      <c r="U327">
        <v>150.6</v>
      </c>
      <c r="V327">
        <v>127</v>
      </c>
      <c r="W327">
        <v>137.69999999999999</v>
      </c>
      <c r="X327">
        <v>140.80000000000001</v>
      </c>
      <c r="Y327">
        <v>120.6</v>
      </c>
      <c r="Z327">
        <v>135</v>
      </c>
      <c r="AA327">
        <v>150.4</v>
      </c>
      <c r="AB327">
        <v>135.1</v>
      </c>
      <c r="AC327">
        <v>134.5</v>
      </c>
      <c r="AD327">
        <v>143.30000000000001</v>
      </c>
    </row>
    <row r="328" spans="1:30" x14ac:dyDescent="0.25">
      <c r="A328" t="s">
        <v>33</v>
      </c>
      <c r="B328">
        <v>2019</v>
      </c>
      <c r="C328" t="s">
        <v>41</v>
      </c>
      <c r="D328">
        <v>142.1</v>
      </c>
      <c r="E328">
        <v>158.30000000000001</v>
      </c>
      <c r="F328">
        <v>140.80000000000001</v>
      </c>
      <c r="G328">
        <v>144.9</v>
      </c>
      <c r="H328">
        <v>119.9</v>
      </c>
      <c r="I328">
        <v>153.9</v>
      </c>
      <c r="J328">
        <v>189.1</v>
      </c>
      <c r="K328">
        <v>129.80000000000001</v>
      </c>
      <c r="L328">
        <v>112.7</v>
      </c>
      <c r="M328">
        <v>142.5</v>
      </c>
      <c r="N328">
        <v>129.80000000000001</v>
      </c>
      <c r="O328">
        <v>156.19999999999999</v>
      </c>
      <c r="P328">
        <v>149.1</v>
      </c>
      <c r="Q328">
        <v>167.9</v>
      </c>
      <c r="R328">
        <v>145</v>
      </c>
      <c r="S328">
        <v>132.19999999999999</v>
      </c>
      <c r="T328">
        <v>143</v>
      </c>
      <c r="U328">
        <v>151.6</v>
      </c>
      <c r="V328">
        <v>125.5</v>
      </c>
      <c r="W328">
        <v>138.1</v>
      </c>
      <c r="X328">
        <v>141.5</v>
      </c>
      <c r="Y328">
        <v>120.8</v>
      </c>
      <c r="Z328">
        <v>135.4</v>
      </c>
      <c r="AA328">
        <v>151.5</v>
      </c>
      <c r="AB328">
        <v>137.80000000000001</v>
      </c>
      <c r="AC328">
        <v>135.30000000000001</v>
      </c>
      <c r="AD328">
        <v>144.19999999999999</v>
      </c>
    </row>
    <row r="329" spans="1:30" x14ac:dyDescent="0.25">
      <c r="A329" t="s">
        <v>33</v>
      </c>
      <c r="B329">
        <v>2019</v>
      </c>
      <c r="C329" t="s">
        <v>42</v>
      </c>
      <c r="D329">
        <v>142.69999999999999</v>
      </c>
      <c r="E329">
        <v>158.69999999999999</v>
      </c>
      <c r="F329">
        <v>141.6</v>
      </c>
      <c r="G329">
        <v>144.9</v>
      </c>
      <c r="H329">
        <v>120.8</v>
      </c>
      <c r="I329">
        <v>149.80000000000001</v>
      </c>
      <c r="J329">
        <v>192.4</v>
      </c>
      <c r="K329">
        <v>130.30000000000001</v>
      </c>
      <c r="L329">
        <v>114</v>
      </c>
      <c r="M329">
        <v>143.80000000000001</v>
      </c>
      <c r="N329">
        <v>130</v>
      </c>
      <c r="O329">
        <v>156.4</v>
      </c>
      <c r="P329">
        <v>149.5</v>
      </c>
      <c r="Q329">
        <v>168.6</v>
      </c>
      <c r="R329">
        <v>145.30000000000001</v>
      </c>
      <c r="S329">
        <v>132.19999999999999</v>
      </c>
      <c r="T329">
        <v>143.30000000000001</v>
      </c>
      <c r="U329">
        <v>152.19999999999999</v>
      </c>
      <c r="V329">
        <v>126.6</v>
      </c>
      <c r="W329">
        <v>138.30000000000001</v>
      </c>
      <c r="X329">
        <v>141.9</v>
      </c>
      <c r="Y329">
        <v>121.2</v>
      </c>
      <c r="Z329">
        <v>135.9</v>
      </c>
      <c r="AA329">
        <v>151.6</v>
      </c>
      <c r="AB329">
        <v>139</v>
      </c>
      <c r="AC329">
        <v>135.69999999999999</v>
      </c>
      <c r="AD329">
        <v>144.69999999999999</v>
      </c>
    </row>
    <row r="330" spans="1:30" x14ac:dyDescent="0.25">
      <c r="A330" t="s">
        <v>33</v>
      </c>
      <c r="B330">
        <v>2019</v>
      </c>
      <c r="C330" t="s">
        <v>43</v>
      </c>
      <c r="D330">
        <v>143.5</v>
      </c>
      <c r="E330">
        <v>159.80000000000001</v>
      </c>
      <c r="F330">
        <v>144.69999999999999</v>
      </c>
      <c r="G330">
        <v>145.6</v>
      </c>
      <c r="H330">
        <v>121.1</v>
      </c>
      <c r="I330">
        <v>150.6</v>
      </c>
      <c r="J330">
        <v>207.2</v>
      </c>
      <c r="K330">
        <v>131.19999999999999</v>
      </c>
      <c r="L330">
        <v>114.8</v>
      </c>
      <c r="M330">
        <v>145.19999999999999</v>
      </c>
      <c r="N330">
        <v>130.19999999999999</v>
      </c>
      <c r="O330">
        <v>156.80000000000001</v>
      </c>
      <c r="P330">
        <v>151.9</v>
      </c>
      <c r="Q330">
        <v>169.3</v>
      </c>
      <c r="R330">
        <v>145.9</v>
      </c>
      <c r="S330">
        <v>132.4</v>
      </c>
      <c r="T330">
        <v>143.9</v>
      </c>
      <c r="U330">
        <v>153</v>
      </c>
      <c r="V330">
        <v>128.9</v>
      </c>
      <c r="W330">
        <v>138.69999999999999</v>
      </c>
      <c r="X330">
        <v>142.4</v>
      </c>
      <c r="Y330">
        <v>121.5</v>
      </c>
      <c r="Z330">
        <v>136.19999999999999</v>
      </c>
      <c r="AA330">
        <v>151.69999999999999</v>
      </c>
      <c r="AB330">
        <v>139.5</v>
      </c>
      <c r="AC330">
        <v>136</v>
      </c>
      <c r="AD330">
        <v>146</v>
      </c>
    </row>
    <row r="331" spans="1:30" x14ac:dyDescent="0.25">
      <c r="A331" t="s">
        <v>33</v>
      </c>
      <c r="B331">
        <v>2019</v>
      </c>
      <c r="C331" t="s">
        <v>45</v>
      </c>
      <c r="D331">
        <v>144.1</v>
      </c>
      <c r="E331">
        <v>162.4</v>
      </c>
      <c r="F331">
        <v>148.4</v>
      </c>
      <c r="G331">
        <v>145.9</v>
      </c>
      <c r="H331">
        <v>121.5</v>
      </c>
      <c r="I331">
        <v>148.80000000000001</v>
      </c>
      <c r="J331">
        <v>215.7</v>
      </c>
      <c r="K331">
        <v>134.6</v>
      </c>
      <c r="L331">
        <v>115</v>
      </c>
      <c r="M331">
        <v>146.30000000000001</v>
      </c>
      <c r="N331">
        <v>130.5</v>
      </c>
      <c r="O331">
        <v>157.19999999999999</v>
      </c>
      <c r="P331">
        <v>153.6</v>
      </c>
      <c r="Q331">
        <v>169.9</v>
      </c>
      <c r="R331">
        <v>146.30000000000001</v>
      </c>
      <c r="S331">
        <v>132.6</v>
      </c>
      <c r="T331">
        <v>144.19999999999999</v>
      </c>
      <c r="U331">
        <v>153.5</v>
      </c>
      <c r="V331">
        <v>132.19999999999999</v>
      </c>
      <c r="W331">
        <v>139.1</v>
      </c>
      <c r="X331">
        <v>142.80000000000001</v>
      </c>
      <c r="Y331">
        <v>121.7</v>
      </c>
      <c r="Z331">
        <v>136.69999999999999</v>
      </c>
      <c r="AA331">
        <v>151.80000000000001</v>
      </c>
      <c r="AB331">
        <v>139.80000000000001</v>
      </c>
      <c r="AC331">
        <v>136.30000000000001</v>
      </c>
      <c r="AD331">
        <v>147</v>
      </c>
    </row>
    <row r="332" spans="1:30" x14ac:dyDescent="0.25">
      <c r="A332" t="s">
        <v>33</v>
      </c>
      <c r="B332">
        <v>2019</v>
      </c>
      <c r="C332" t="s">
        <v>46</v>
      </c>
      <c r="D332">
        <v>144.9</v>
      </c>
      <c r="E332">
        <v>164.5</v>
      </c>
      <c r="F332">
        <v>153.69999999999999</v>
      </c>
      <c r="G332">
        <v>147.5</v>
      </c>
      <c r="H332">
        <v>122.7</v>
      </c>
      <c r="I332">
        <v>147.19999999999999</v>
      </c>
      <c r="J332">
        <v>231.5</v>
      </c>
      <c r="K332">
        <v>137.19999999999999</v>
      </c>
      <c r="L332">
        <v>114.7</v>
      </c>
      <c r="M332">
        <v>148</v>
      </c>
      <c r="N332">
        <v>130.80000000000001</v>
      </c>
      <c r="O332">
        <v>157.69999999999999</v>
      </c>
      <c r="P332">
        <v>156.30000000000001</v>
      </c>
      <c r="Q332">
        <v>170.4</v>
      </c>
      <c r="R332">
        <v>146.80000000000001</v>
      </c>
      <c r="S332">
        <v>132.80000000000001</v>
      </c>
      <c r="T332">
        <v>144.6</v>
      </c>
      <c r="U332">
        <v>152.80000000000001</v>
      </c>
      <c r="V332">
        <v>133.6</v>
      </c>
      <c r="W332">
        <v>139.80000000000001</v>
      </c>
      <c r="X332">
        <v>143.19999999999999</v>
      </c>
      <c r="Y332">
        <v>125.2</v>
      </c>
      <c r="Z332">
        <v>136.80000000000001</v>
      </c>
      <c r="AA332">
        <v>151.9</v>
      </c>
      <c r="AB332">
        <v>140.19999999999999</v>
      </c>
      <c r="AC332">
        <v>137.69999999999999</v>
      </c>
      <c r="AD332">
        <v>148.30000000000001</v>
      </c>
    </row>
    <row r="333" spans="1:30" x14ac:dyDescent="0.25">
      <c r="A333" t="s">
        <v>33</v>
      </c>
      <c r="B333">
        <v>2020</v>
      </c>
      <c r="C333" t="s">
        <v>31</v>
      </c>
      <c r="D333">
        <v>145.6</v>
      </c>
      <c r="E333">
        <v>167.6</v>
      </c>
      <c r="F333">
        <v>157</v>
      </c>
      <c r="G333">
        <v>149.30000000000001</v>
      </c>
      <c r="H333">
        <v>126.3</v>
      </c>
      <c r="I333">
        <v>144.4</v>
      </c>
      <c r="J333">
        <v>207.8</v>
      </c>
      <c r="K333">
        <v>139.1</v>
      </c>
      <c r="L333">
        <v>114.8</v>
      </c>
      <c r="M333">
        <v>149.5</v>
      </c>
      <c r="N333">
        <v>131.1</v>
      </c>
      <c r="O333">
        <v>158.5</v>
      </c>
      <c r="P333">
        <v>154.4</v>
      </c>
      <c r="Q333">
        <v>170.8</v>
      </c>
      <c r="R333">
        <v>147</v>
      </c>
      <c r="S333">
        <v>133.19999999999999</v>
      </c>
      <c r="T333">
        <v>144.9</v>
      </c>
      <c r="U333">
        <v>153.9</v>
      </c>
      <c r="V333">
        <v>135.1</v>
      </c>
      <c r="W333">
        <v>140.1</v>
      </c>
      <c r="X333">
        <v>143.80000000000001</v>
      </c>
      <c r="Y333">
        <v>126.1</v>
      </c>
      <c r="Z333">
        <v>137.19999999999999</v>
      </c>
      <c r="AA333">
        <v>152.1</v>
      </c>
      <c r="AB333">
        <v>142.1</v>
      </c>
      <c r="AC333">
        <v>138.4</v>
      </c>
      <c r="AD333">
        <v>148.19999999999999</v>
      </c>
    </row>
    <row r="334" spans="1:30" x14ac:dyDescent="0.25">
      <c r="A334" t="s">
        <v>33</v>
      </c>
      <c r="B334">
        <v>2020</v>
      </c>
      <c r="C334" t="s">
        <v>35</v>
      </c>
      <c r="D334">
        <v>146.19999999999999</v>
      </c>
      <c r="E334">
        <v>167.6</v>
      </c>
      <c r="F334">
        <v>153.1</v>
      </c>
      <c r="G334">
        <v>150.69999999999999</v>
      </c>
      <c r="H334">
        <v>127.4</v>
      </c>
      <c r="I334">
        <v>143.1</v>
      </c>
      <c r="J334">
        <v>181.7</v>
      </c>
      <c r="K334">
        <v>139.6</v>
      </c>
      <c r="L334">
        <v>114.6</v>
      </c>
      <c r="M334">
        <v>150.4</v>
      </c>
      <c r="N334">
        <v>131.5</v>
      </c>
      <c r="O334">
        <v>159</v>
      </c>
      <c r="P334">
        <v>151.69999999999999</v>
      </c>
      <c r="Q334">
        <v>172</v>
      </c>
      <c r="R334">
        <v>147.30000000000001</v>
      </c>
      <c r="S334">
        <v>133.5</v>
      </c>
      <c r="T334">
        <v>145.19999999999999</v>
      </c>
      <c r="U334">
        <v>154.80000000000001</v>
      </c>
      <c r="V334">
        <v>138.9</v>
      </c>
      <c r="W334">
        <v>140.4</v>
      </c>
      <c r="X334">
        <v>144.4</v>
      </c>
      <c r="Y334">
        <v>125.2</v>
      </c>
      <c r="Z334">
        <v>137.69999999999999</v>
      </c>
      <c r="AA334">
        <v>152.19999999999999</v>
      </c>
      <c r="AB334">
        <v>143.5</v>
      </c>
      <c r="AC334">
        <v>138.4</v>
      </c>
      <c r="AD334">
        <v>147.69999999999999</v>
      </c>
    </row>
    <row r="335" spans="1:30" x14ac:dyDescent="0.25">
      <c r="A335" t="s">
        <v>33</v>
      </c>
      <c r="B335">
        <v>2020</v>
      </c>
      <c r="C335" t="s">
        <v>36</v>
      </c>
      <c r="D335">
        <v>146.5</v>
      </c>
      <c r="E335">
        <v>167.5</v>
      </c>
      <c r="F335">
        <v>148.9</v>
      </c>
      <c r="G335">
        <v>151.1</v>
      </c>
      <c r="H335">
        <v>127.5</v>
      </c>
      <c r="I335">
        <v>143.30000000000001</v>
      </c>
      <c r="J335">
        <v>167</v>
      </c>
      <c r="K335">
        <v>139.69999999999999</v>
      </c>
      <c r="L335">
        <v>114.4</v>
      </c>
      <c r="M335">
        <v>151.5</v>
      </c>
      <c r="N335">
        <v>131.9</v>
      </c>
      <c r="O335">
        <v>159.1</v>
      </c>
      <c r="P335">
        <v>150.1</v>
      </c>
      <c r="Q335">
        <v>173.3</v>
      </c>
      <c r="R335">
        <v>147.69999999999999</v>
      </c>
      <c r="S335">
        <v>133.80000000000001</v>
      </c>
      <c r="T335">
        <v>145.6</v>
      </c>
      <c r="U335">
        <v>154.5</v>
      </c>
      <c r="V335">
        <v>141.4</v>
      </c>
      <c r="W335">
        <v>140.80000000000001</v>
      </c>
      <c r="X335">
        <v>145</v>
      </c>
      <c r="Y335">
        <v>124.6</v>
      </c>
      <c r="Z335">
        <v>137.9</v>
      </c>
      <c r="AA335">
        <v>152.5</v>
      </c>
      <c r="AB335">
        <v>145.30000000000001</v>
      </c>
      <c r="AC335">
        <v>138.69999999999999</v>
      </c>
      <c r="AD335">
        <v>147.30000000000001</v>
      </c>
    </row>
    <row r="336" spans="1:30" x14ac:dyDescent="0.25">
      <c r="A336" t="s">
        <v>33</v>
      </c>
      <c r="B336">
        <v>2020</v>
      </c>
      <c r="C336" t="s">
        <v>37</v>
      </c>
      <c r="D336">
        <v>151.80000000000001</v>
      </c>
      <c r="E336" t="s">
        <v>32</v>
      </c>
      <c r="F336">
        <v>151.9</v>
      </c>
      <c r="G336">
        <v>155.5</v>
      </c>
      <c r="H336">
        <v>131.6</v>
      </c>
      <c r="I336">
        <v>152.9</v>
      </c>
      <c r="J336">
        <v>180</v>
      </c>
      <c r="K336">
        <v>150.80000000000001</v>
      </c>
      <c r="L336">
        <v>121.2</v>
      </c>
      <c r="M336">
        <v>154</v>
      </c>
      <c r="N336">
        <v>133.5</v>
      </c>
      <c r="O336" t="s">
        <v>32</v>
      </c>
      <c r="P336">
        <v>153.5</v>
      </c>
      <c r="Q336" t="s">
        <v>32</v>
      </c>
      <c r="R336" t="s">
        <v>32</v>
      </c>
      <c r="S336" t="s">
        <v>32</v>
      </c>
      <c r="T336" t="s">
        <v>32</v>
      </c>
      <c r="U336">
        <v>155.6</v>
      </c>
      <c r="V336">
        <v>137.1</v>
      </c>
      <c r="W336" t="s">
        <v>32</v>
      </c>
      <c r="X336">
        <v>144.80000000000001</v>
      </c>
      <c r="Y336" t="s">
        <v>32</v>
      </c>
      <c r="Z336" t="s">
        <v>32</v>
      </c>
      <c r="AA336" t="s">
        <v>32</v>
      </c>
      <c r="AB336" t="s">
        <v>32</v>
      </c>
      <c r="AC336" t="s">
        <v>32</v>
      </c>
      <c r="AD336" t="s">
        <v>32</v>
      </c>
    </row>
    <row r="337" spans="1:30" x14ac:dyDescent="0.25">
      <c r="A337" t="s">
        <v>33</v>
      </c>
      <c r="B337">
        <v>2020</v>
      </c>
      <c r="C337" t="s">
        <v>38</v>
      </c>
      <c r="D337" t="s">
        <v>32</v>
      </c>
      <c r="E337" t="s">
        <v>32</v>
      </c>
      <c r="F337" t="s">
        <v>32</v>
      </c>
      <c r="G337" t="s">
        <v>32</v>
      </c>
      <c r="H337" t="s">
        <v>32</v>
      </c>
      <c r="I337" t="s">
        <v>32</v>
      </c>
      <c r="J337" t="s">
        <v>32</v>
      </c>
      <c r="K337" t="s">
        <v>32</v>
      </c>
      <c r="L337" t="s">
        <v>32</v>
      </c>
      <c r="M337" t="s">
        <v>32</v>
      </c>
      <c r="N337" t="s">
        <v>32</v>
      </c>
      <c r="O337" t="s">
        <v>32</v>
      </c>
      <c r="P337" t="s">
        <v>32</v>
      </c>
      <c r="Q337" t="s">
        <v>32</v>
      </c>
      <c r="R337" t="s">
        <v>32</v>
      </c>
      <c r="S337" t="s">
        <v>32</v>
      </c>
      <c r="T337" t="s">
        <v>32</v>
      </c>
      <c r="U337" t="s">
        <v>32</v>
      </c>
      <c r="V337" t="s">
        <v>32</v>
      </c>
      <c r="W337" t="s">
        <v>32</v>
      </c>
      <c r="X337" t="s">
        <v>32</v>
      </c>
      <c r="Y337" t="s">
        <v>32</v>
      </c>
      <c r="Z337" t="s">
        <v>32</v>
      </c>
      <c r="AA337" t="s">
        <v>32</v>
      </c>
      <c r="AB337" t="s">
        <v>32</v>
      </c>
      <c r="AC337" t="s">
        <v>32</v>
      </c>
      <c r="AD337" t="s">
        <v>32</v>
      </c>
    </row>
    <row r="338" spans="1:30" x14ac:dyDescent="0.25">
      <c r="A338" t="s">
        <v>33</v>
      </c>
      <c r="B338">
        <v>2020</v>
      </c>
      <c r="C338" t="s">
        <v>39</v>
      </c>
      <c r="D338">
        <v>152.69999999999999</v>
      </c>
      <c r="E338">
        <v>197</v>
      </c>
      <c r="F338">
        <v>154.6</v>
      </c>
      <c r="G338">
        <v>153.4</v>
      </c>
      <c r="H338">
        <v>132.9</v>
      </c>
      <c r="I338">
        <v>151.80000000000001</v>
      </c>
      <c r="J338">
        <v>171.2</v>
      </c>
      <c r="K338">
        <v>152</v>
      </c>
      <c r="L338">
        <v>116.3</v>
      </c>
      <c r="M338">
        <v>158.80000000000001</v>
      </c>
      <c r="N338">
        <v>135.6</v>
      </c>
      <c r="O338">
        <v>161.69999999999999</v>
      </c>
      <c r="P338">
        <v>157</v>
      </c>
      <c r="Q338">
        <v>186.7</v>
      </c>
      <c r="R338">
        <v>149.1</v>
      </c>
      <c r="S338">
        <v>136.6</v>
      </c>
      <c r="T338">
        <v>147.19999999999999</v>
      </c>
      <c r="U338">
        <v>154.69999999999999</v>
      </c>
      <c r="V338">
        <v>137.1</v>
      </c>
      <c r="W338">
        <v>140.4</v>
      </c>
      <c r="X338">
        <v>148.1</v>
      </c>
      <c r="Y338">
        <v>129.30000000000001</v>
      </c>
      <c r="Z338">
        <v>144.5</v>
      </c>
      <c r="AA338">
        <v>152.5</v>
      </c>
      <c r="AB338">
        <v>152.19999999999999</v>
      </c>
      <c r="AC338">
        <v>142</v>
      </c>
      <c r="AD338">
        <v>150.80000000000001</v>
      </c>
    </row>
    <row r="339" spans="1:30" x14ac:dyDescent="0.25">
      <c r="A339" t="s">
        <v>33</v>
      </c>
      <c r="B339">
        <v>2020</v>
      </c>
      <c r="C339" t="s">
        <v>40</v>
      </c>
      <c r="D339">
        <v>152.69999999999999</v>
      </c>
      <c r="E339">
        <v>197</v>
      </c>
      <c r="F339">
        <v>154.6</v>
      </c>
      <c r="G339">
        <v>153.4</v>
      </c>
      <c r="H339">
        <v>132.9</v>
      </c>
      <c r="I339">
        <v>151.80000000000001</v>
      </c>
      <c r="J339">
        <v>171.2</v>
      </c>
      <c r="K339">
        <v>152</v>
      </c>
      <c r="L339">
        <v>116.3</v>
      </c>
      <c r="M339">
        <v>158.80000000000001</v>
      </c>
      <c r="N339">
        <v>135.6</v>
      </c>
      <c r="O339">
        <v>161.69999999999999</v>
      </c>
      <c r="P339">
        <v>157</v>
      </c>
      <c r="Q339">
        <v>186.7</v>
      </c>
      <c r="R339">
        <v>149.1</v>
      </c>
      <c r="S339">
        <v>136.6</v>
      </c>
      <c r="T339">
        <v>147.19999999999999</v>
      </c>
      <c r="U339">
        <v>154.69999999999999</v>
      </c>
      <c r="V339">
        <v>137.1</v>
      </c>
      <c r="W339">
        <v>140.4</v>
      </c>
      <c r="X339">
        <v>148.1</v>
      </c>
      <c r="Y339">
        <v>129.30000000000001</v>
      </c>
      <c r="Z339">
        <v>144.5</v>
      </c>
      <c r="AA339">
        <v>152.5</v>
      </c>
      <c r="AB339">
        <v>152.19999999999999</v>
      </c>
      <c r="AC339">
        <v>142</v>
      </c>
      <c r="AD339">
        <v>150.80000000000001</v>
      </c>
    </row>
    <row r="340" spans="1:30" x14ac:dyDescent="0.25">
      <c r="A340" t="s">
        <v>33</v>
      </c>
      <c r="B340">
        <v>2020</v>
      </c>
      <c r="C340" t="s">
        <v>41</v>
      </c>
      <c r="D340">
        <v>151.6</v>
      </c>
      <c r="E340">
        <v>197.8</v>
      </c>
      <c r="F340">
        <v>154.5</v>
      </c>
      <c r="G340">
        <v>153.4</v>
      </c>
      <c r="H340">
        <v>133.4</v>
      </c>
      <c r="I340">
        <v>154.5</v>
      </c>
      <c r="J340">
        <v>191.9</v>
      </c>
      <c r="K340">
        <v>151.30000000000001</v>
      </c>
      <c r="L340">
        <v>116.8</v>
      </c>
      <c r="M340">
        <v>160</v>
      </c>
      <c r="N340">
        <v>136.5</v>
      </c>
      <c r="O340">
        <v>163.30000000000001</v>
      </c>
      <c r="P340">
        <v>159.9</v>
      </c>
      <c r="Q340">
        <v>187.2</v>
      </c>
      <c r="R340">
        <v>150</v>
      </c>
      <c r="S340">
        <v>135.19999999999999</v>
      </c>
      <c r="T340">
        <v>147.80000000000001</v>
      </c>
      <c r="U340">
        <v>155.5</v>
      </c>
      <c r="V340">
        <v>138.30000000000001</v>
      </c>
      <c r="W340">
        <v>144.5</v>
      </c>
      <c r="X340">
        <v>148.69999999999999</v>
      </c>
      <c r="Y340">
        <v>133.9</v>
      </c>
      <c r="Z340">
        <v>141.19999999999999</v>
      </c>
      <c r="AA340">
        <v>155.5</v>
      </c>
      <c r="AB340">
        <v>155.19999999999999</v>
      </c>
      <c r="AC340">
        <v>144.80000000000001</v>
      </c>
      <c r="AD340">
        <v>152.9</v>
      </c>
    </row>
    <row r="341" spans="1:30" x14ac:dyDescent="0.25">
      <c r="A341" t="s">
        <v>33</v>
      </c>
      <c r="B341">
        <v>2020</v>
      </c>
      <c r="C341" t="s">
        <v>42</v>
      </c>
      <c r="D341">
        <v>151.5</v>
      </c>
      <c r="E341">
        <v>193.1</v>
      </c>
      <c r="F341">
        <v>157.30000000000001</v>
      </c>
      <c r="G341">
        <v>153.9</v>
      </c>
      <c r="H341">
        <v>134.4</v>
      </c>
      <c r="I341">
        <v>155.4</v>
      </c>
      <c r="J341">
        <v>202</v>
      </c>
      <c r="K341">
        <v>150.80000000000001</v>
      </c>
      <c r="L341">
        <v>118.9</v>
      </c>
      <c r="M341">
        <v>160.9</v>
      </c>
      <c r="N341">
        <v>137.69999999999999</v>
      </c>
      <c r="O341">
        <v>164.4</v>
      </c>
      <c r="P341">
        <v>161.30000000000001</v>
      </c>
      <c r="Q341">
        <v>188.7</v>
      </c>
      <c r="R341">
        <v>150.19999999999999</v>
      </c>
      <c r="S341">
        <v>136.30000000000001</v>
      </c>
      <c r="T341">
        <v>148.1</v>
      </c>
      <c r="U341">
        <v>156.30000000000001</v>
      </c>
      <c r="V341">
        <v>137.19999999999999</v>
      </c>
      <c r="W341">
        <v>145.4</v>
      </c>
      <c r="X341">
        <v>150</v>
      </c>
      <c r="Y341">
        <v>135.1</v>
      </c>
      <c r="Z341">
        <v>141.80000000000001</v>
      </c>
      <c r="AA341">
        <v>154.9</v>
      </c>
      <c r="AB341">
        <v>159.80000000000001</v>
      </c>
      <c r="AC341">
        <v>146</v>
      </c>
      <c r="AD341">
        <v>154</v>
      </c>
    </row>
    <row r="342" spans="1:30" x14ac:dyDescent="0.25">
      <c r="A342" t="s">
        <v>33</v>
      </c>
      <c r="B342">
        <v>2020</v>
      </c>
      <c r="C342" t="s">
        <v>43</v>
      </c>
      <c r="D342">
        <v>150.6</v>
      </c>
      <c r="E342">
        <v>193.7</v>
      </c>
      <c r="F342">
        <v>164.8</v>
      </c>
      <c r="G342">
        <v>153.69999999999999</v>
      </c>
      <c r="H342">
        <v>135.69999999999999</v>
      </c>
      <c r="I342">
        <v>155.69999999999999</v>
      </c>
      <c r="J342">
        <v>226</v>
      </c>
      <c r="K342">
        <v>152.19999999999999</v>
      </c>
      <c r="L342">
        <v>118.1</v>
      </c>
      <c r="M342">
        <v>161.30000000000001</v>
      </c>
      <c r="N342">
        <v>139.19999999999999</v>
      </c>
      <c r="O342">
        <v>164.8</v>
      </c>
      <c r="P342">
        <v>164.4</v>
      </c>
      <c r="Q342">
        <v>188.7</v>
      </c>
      <c r="R342">
        <v>150.5</v>
      </c>
      <c r="S342">
        <v>136.1</v>
      </c>
      <c r="T342">
        <v>148.30000000000001</v>
      </c>
      <c r="U342">
        <v>156.5</v>
      </c>
      <c r="V342">
        <v>137.1</v>
      </c>
      <c r="W342">
        <v>145.1</v>
      </c>
      <c r="X342">
        <v>151</v>
      </c>
      <c r="Y342">
        <v>135.4</v>
      </c>
      <c r="Z342">
        <v>142</v>
      </c>
      <c r="AA342">
        <v>155.69999999999999</v>
      </c>
      <c r="AB342">
        <v>158.1</v>
      </c>
      <c r="AC342">
        <v>146.19999999999999</v>
      </c>
      <c r="AD342">
        <v>155.19999999999999</v>
      </c>
    </row>
    <row r="343" spans="1:30" x14ac:dyDescent="0.25">
      <c r="A343" t="s">
        <v>33</v>
      </c>
      <c r="B343">
        <v>2020</v>
      </c>
      <c r="C343" t="s">
        <v>45</v>
      </c>
      <c r="D343">
        <v>149.69999999999999</v>
      </c>
      <c r="E343">
        <v>195.5</v>
      </c>
      <c r="F343">
        <v>176.9</v>
      </c>
      <c r="G343">
        <v>153.9</v>
      </c>
      <c r="H343">
        <v>138</v>
      </c>
      <c r="I343">
        <v>150.5</v>
      </c>
      <c r="J343">
        <v>245.3</v>
      </c>
      <c r="K343">
        <v>158.69999999999999</v>
      </c>
      <c r="L343">
        <v>117.2</v>
      </c>
      <c r="M343">
        <v>161.4</v>
      </c>
      <c r="N343">
        <v>141.5</v>
      </c>
      <c r="O343">
        <v>165.1</v>
      </c>
      <c r="P343">
        <v>167</v>
      </c>
      <c r="Q343">
        <v>188.8</v>
      </c>
      <c r="R343">
        <v>151.1</v>
      </c>
      <c r="S343">
        <v>136.4</v>
      </c>
      <c r="T343">
        <v>148.80000000000001</v>
      </c>
      <c r="U343">
        <v>158</v>
      </c>
      <c r="V343">
        <v>137.30000000000001</v>
      </c>
      <c r="W343">
        <v>145.1</v>
      </c>
      <c r="X343">
        <v>152</v>
      </c>
      <c r="Y343">
        <v>135.19999999999999</v>
      </c>
      <c r="Z343">
        <v>144.4</v>
      </c>
      <c r="AA343">
        <v>156.4</v>
      </c>
      <c r="AB343">
        <v>157.9</v>
      </c>
      <c r="AC343">
        <v>146.6</v>
      </c>
      <c r="AD343">
        <v>156.69999999999999</v>
      </c>
    </row>
    <row r="344" spans="1:30" x14ac:dyDescent="0.25">
      <c r="A344" t="s">
        <v>33</v>
      </c>
      <c r="B344">
        <v>2020</v>
      </c>
      <c r="C344" t="s">
        <v>46</v>
      </c>
      <c r="D344">
        <v>149</v>
      </c>
      <c r="E344">
        <v>195.7</v>
      </c>
      <c r="F344">
        <v>178.3</v>
      </c>
      <c r="G344">
        <v>154.19999999999999</v>
      </c>
      <c r="H344">
        <v>140.69999999999999</v>
      </c>
      <c r="I344">
        <v>149.69999999999999</v>
      </c>
      <c r="J344">
        <v>240.9</v>
      </c>
      <c r="K344">
        <v>161.5</v>
      </c>
      <c r="L344">
        <v>117.1</v>
      </c>
      <c r="M344">
        <v>161.9</v>
      </c>
      <c r="N344">
        <v>143.30000000000001</v>
      </c>
      <c r="O344">
        <v>166.1</v>
      </c>
      <c r="P344">
        <v>167</v>
      </c>
      <c r="Q344">
        <v>190.2</v>
      </c>
      <c r="R344">
        <v>151.9</v>
      </c>
      <c r="S344">
        <v>136.69999999999999</v>
      </c>
      <c r="T344">
        <v>149.6</v>
      </c>
      <c r="U344">
        <v>158.4</v>
      </c>
      <c r="V344">
        <v>137.9</v>
      </c>
      <c r="W344">
        <v>145.5</v>
      </c>
      <c r="X344">
        <v>152.9</v>
      </c>
      <c r="Y344">
        <v>135.5</v>
      </c>
      <c r="Z344">
        <v>144.30000000000001</v>
      </c>
      <c r="AA344">
        <v>156.9</v>
      </c>
      <c r="AB344">
        <v>157.9</v>
      </c>
      <c r="AC344">
        <v>146.9</v>
      </c>
      <c r="AD344">
        <v>156.9</v>
      </c>
    </row>
    <row r="345" spans="1:30" x14ac:dyDescent="0.25">
      <c r="A345" t="s">
        <v>33</v>
      </c>
      <c r="B345">
        <v>2021</v>
      </c>
      <c r="C345" t="s">
        <v>31</v>
      </c>
      <c r="D345">
        <v>148</v>
      </c>
      <c r="E345">
        <v>194.8</v>
      </c>
      <c r="F345">
        <v>178.4</v>
      </c>
      <c r="G345">
        <v>154.4</v>
      </c>
      <c r="H345">
        <v>144.1</v>
      </c>
      <c r="I345">
        <v>152.6</v>
      </c>
      <c r="J345">
        <v>206.8</v>
      </c>
      <c r="K345">
        <v>162.1</v>
      </c>
      <c r="L345">
        <v>116.3</v>
      </c>
      <c r="M345">
        <v>163</v>
      </c>
      <c r="N345">
        <v>145.9</v>
      </c>
      <c r="O345">
        <v>167.2</v>
      </c>
      <c r="P345">
        <v>163.4</v>
      </c>
      <c r="Q345">
        <v>191.8</v>
      </c>
      <c r="R345">
        <v>152.5</v>
      </c>
      <c r="S345">
        <v>137.30000000000001</v>
      </c>
      <c r="T345">
        <v>150.19999999999999</v>
      </c>
      <c r="U345">
        <v>157.69999999999999</v>
      </c>
      <c r="V345">
        <v>142.9</v>
      </c>
      <c r="W345">
        <v>145.69999999999999</v>
      </c>
      <c r="X345">
        <v>154.1</v>
      </c>
      <c r="Y345">
        <v>136.9</v>
      </c>
      <c r="Z345">
        <v>145.4</v>
      </c>
      <c r="AA345">
        <v>156.1</v>
      </c>
      <c r="AB345">
        <v>157.69999999999999</v>
      </c>
      <c r="AC345">
        <v>147.6</v>
      </c>
      <c r="AD345">
        <v>156</v>
      </c>
    </row>
    <row r="346" spans="1:30" x14ac:dyDescent="0.25">
      <c r="A346" t="s">
        <v>33</v>
      </c>
      <c r="B346">
        <v>2021</v>
      </c>
      <c r="C346" t="s">
        <v>35</v>
      </c>
      <c r="D346">
        <v>147.6</v>
      </c>
      <c r="E346">
        <v>191.2</v>
      </c>
      <c r="F346">
        <v>169.9</v>
      </c>
      <c r="G346">
        <v>155.1</v>
      </c>
      <c r="H346">
        <v>151.4</v>
      </c>
      <c r="I346">
        <v>154</v>
      </c>
      <c r="J346">
        <v>180.2</v>
      </c>
      <c r="K346">
        <v>159.80000000000001</v>
      </c>
      <c r="L346">
        <v>114.9</v>
      </c>
      <c r="M346">
        <v>162.5</v>
      </c>
      <c r="N346">
        <v>149.19999999999999</v>
      </c>
      <c r="O346">
        <v>169.4</v>
      </c>
      <c r="P346">
        <v>160.80000000000001</v>
      </c>
      <c r="Q346">
        <v>193.3</v>
      </c>
      <c r="R346">
        <v>154.19999999999999</v>
      </c>
      <c r="S346">
        <v>138.19999999999999</v>
      </c>
      <c r="T346">
        <v>151.80000000000001</v>
      </c>
      <c r="U346">
        <v>159.80000000000001</v>
      </c>
      <c r="V346">
        <v>149.1</v>
      </c>
      <c r="W346">
        <v>146.5</v>
      </c>
      <c r="X346">
        <v>156.30000000000001</v>
      </c>
      <c r="Y346">
        <v>140.5</v>
      </c>
      <c r="Z346">
        <v>147.30000000000001</v>
      </c>
      <c r="AA346">
        <v>156.6</v>
      </c>
      <c r="AB346">
        <v>156.69999999999999</v>
      </c>
      <c r="AC346">
        <v>149.30000000000001</v>
      </c>
      <c r="AD346">
        <v>156.5</v>
      </c>
    </row>
    <row r="347" spans="1:30" x14ac:dyDescent="0.25">
      <c r="A347" t="s">
        <v>33</v>
      </c>
      <c r="B347">
        <v>2021</v>
      </c>
      <c r="C347" t="s">
        <v>36</v>
      </c>
      <c r="D347">
        <v>147.5</v>
      </c>
      <c r="E347">
        <v>197.5</v>
      </c>
      <c r="F347">
        <v>164.7</v>
      </c>
      <c r="G347">
        <v>155.6</v>
      </c>
      <c r="H347">
        <v>156.4</v>
      </c>
      <c r="I347">
        <v>157.30000000000001</v>
      </c>
      <c r="J347">
        <v>166.1</v>
      </c>
      <c r="K347">
        <v>161.1</v>
      </c>
      <c r="L347">
        <v>114.3</v>
      </c>
      <c r="M347">
        <v>162.6</v>
      </c>
      <c r="N347">
        <v>150.69999999999999</v>
      </c>
      <c r="O347">
        <v>170.3</v>
      </c>
      <c r="P347">
        <v>160.4</v>
      </c>
      <c r="Q347">
        <v>193.5</v>
      </c>
      <c r="R347">
        <v>155.1</v>
      </c>
      <c r="S347">
        <v>138.69999999999999</v>
      </c>
      <c r="T347">
        <v>152.6</v>
      </c>
      <c r="U347">
        <v>159.9</v>
      </c>
      <c r="V347">
        <v>154.80000000000001</v>
      </c>
      <c r="W347">
        <v>147.19999999999999</v>
      </c>
      <c r="X347">
        <v>156.9</v>
      </c>
      <c r="Y347">
        <v>141.69999999999999</v>
      </c>
      <c r="Z347">
        <v>148.6</v>
      </c>
      <c r="AA347">
        <v>157.6</v>
      </c>
      <c r="AB347">
        <v>154.9</v>
      </c>
      <c r="AC347">
        <v>150</v>
      </c>
      <c r="AD347">
        <v>156.9</v>
      </c>
    </row>
    <row r="348" spans="1:30" x14ac:dyDescent="0.25">
      <c r="A348" t="s">
        <v>33</v>
      </c>
      <c r="B348">
        <v>2021</v>
      </c>
      <c r="C348" t="s">
        <v>37</v>
      </c>
      <c r="D348">
        <v>147.6</v>
      </c>
      <c r="E348">
        <v>202.5</v>
      </c>
      <c r="F348">
        <v>166.4</v>
      </c>
      <c r="G348">
        <v>156</v>
      </c>
      <c r="H348">
        <v>161.4</v>
      </c>
      <c r="I348">
        <v>168.8</v>
      </c>
      <c r="J348">
        <v>161.6</v>
      </c>
      <c r="K348">
        <v>162.80000000000001</v>
      </c>
      <c r="L348">
        <v>114.8</v>
      </c>
      <c r="M348">
        <v>162.80000000000001</v>
      </c>
      <c r="N348">
        <v>151.5</v>
      </c>
      <c r="O348">
        <v>171.4</v>
      </c>
      <c r="P348">
        <v>162</v>
      </c>
      <c r="Q348">
        <v>194.4</v>
      </c>
      <c r="R348">
        <v>155.9</v>
      </c>
      <c r="S348">
        <v>139.30000000000001</v>
      </c>
      <c r="T348">
        <v>153.4</v>
      </c>
      <c r="U348">
        <v>161.4</v>
      </c>
      <c r="V348">
        <v>154.9</v>
      </c>
      <c r="W348">
        <v>147.6</v>
      </c>
      <c r="X348">
        <v>157.5</v>
      </c>
      <c r="Y348">
        <v>142.1</v>
      </c>
      <c r="Z348">
        <v>149.1</v>
      </c>
      <c r="AA348">
        <v>157.6</v>
      </c>
      <c r="AB348">
        <v>156.6</v>
      </c>
      <c r="AC348">
        <v>150.5</v>
      </c>
      <c r="AD348">
        <v>158</v>
      </c>
    </row>
    <row r="349" spans="1:30" x14ac:dyDescent="0.25">
      <c r="A349" t="s">
        <v>33</v>
      </c>
      <c r="B349">
        <v>2021</v>
      </c>
      <c r="C349" t="s">
        <v>38</v>
      </c>
      <c r="D349">
        <v>148.80000000000001</v>
      </c>
      <c r="E349">
        <v>204.3</v>
      </c>
      <c r="F349">
        <v>173</v>
      </c>
      <c r="G349">
        <v>156.5</v>
      </c>
      <c r="H349">
        <v>168.8</v>
      </c>
      <c r="I349">
        <v>172.5</v>
      </c>
      <c r="J349">
        <v>166.5</v>
      </c>
      <c r="K349">
        <v>165.9</v>
      </c>
      <c r="L349">
        <v>115.9</v>
      </c>
      <c r="M349">
        <v>165.2</v>
      </c>
      <c r="N349">
        <v>152</v>
      </c>
      <c r="O349">
        <v>171.1</v>
      </c>
      <c r="P349">
        <v>164.2</v>
      </c>
      <c r="Q349">
        <v>198.2</v>
      </c>
      <c r="R349">
        <v>156.5</v>
      </c>
      <c r="S349">
        <v>140.19999999999999</v>
      </c>
      <c r="T349">
        <v>154.1</v>
      </c>
      <c r="U349">
        <v>161.6</v>
      </c>
      <c r="V349">
        <v>155.5</v>
      </c>
      <c r="W349">
        <v>150.1</v>
      </c>
      <c r="X349">
        <v>160.4</v>
      </c>
      <c r="Y349">
        <v>145</v>
      </c>
      <c r="Z349">
        <v>152.6</v>
      </c>
      <c r="AA349">
        <v>156.6</v>
      </c>
      <c r="AB349">
        <v>157.5</v>
      </c>
      <c r="AC349">
        <v>152.30000000000001</v>
      </c>
      <c r="AD349">
        <v>159.5</v>
      </c>
    </row>
    <row r="350" spans="1:30" x14ac:dyDescent="0.25">
      <c r="A350" t="s">
        <v>33</v>
      </c>
      <c r="B350">
        <v>2021</v>
      </c>
      <c r="C350" t="s">
        <v>39</v>
      </c>
      <c r="D350">
        <v>149.19999999999999</v>
      </c>
      <c r="E350">
        <v>205.5</v>
      </c>
      <c r="F350">
        <v>182.8</v>
      </c>
      <c r="G350">
        <v>156.5</v>
      </c>
      <c r="H350">
        <v>172.2</v>
      </c>
      <c r="I350">
        <v>171.5</v>
      </c>
      <c r="J350">
        <v>176.2</v>
      </c>
      <c r="K350">
        <v>166.9</v>
      </c>
      <c r="L350">
        <v>116.1</v>
      </c>
      <c r="M350">
        <v>165.5</v>
      </c>
      <c r="N350">
        <v>152.30000000000001</v>
      </c>
      <c r="O350">
        <v>173.3</v>
      </c>
      <c r="P350">
        <v>166.2</v>
      </c>
      <c r="Q350">
        <v>195.6</v>
      </c>
      <c r="R350">
        <v>157.30000000000001</v>
      </c>
      <c r="S350">
        <v>140.5</v>
      </c>
      <c r="T350">
        <v>154.80000000000001</v>
      </c>
      <c r="U350">
        <v>160.5</v>
      </c>
      <c r="V350">
        <v>156.1</v>
      </c>
      <c r="W350">
        <v>149.80000000000001</v>
      </c>
      <c r="X350">
        <v>160.80000000000001</v>
      </c>
      <c r="Y350">
        <v>147.5</v>
      </c>
      <c r="Z350">
        <v>150.69999999999999</v>
      </c>
      <c r="AA350">
        <v>158.1</v>
      </c>
      <c r="AB350">
        <v>158</v>
      </c>
      <c r="AC350">
        <v>153.4</v>
      </c>
      <c r="AD350">
        <v>160.4</v>
      </c>
    </row>
    <row r="351" spans="1:30" x14ac:dyDescent="0.25">
      <c r="A351" t="s">
        <v>33</v>
      </c>
      <c r="B351">
        <v>2021</v>
      </c>
      <c r="C351" t="s">
        <v>40</v>
      </c>
      <c r="D351">
        <v>149.1</v>
      </c>
      <c r="E351">
        <v>210.9</v>
      </c>
      <c r="F351">
        <v>185</v>
      </c>
      <c r="G351">
        <v>158.19999999999999</v>
      </c>
      <c r="H351">
        <v>170.6</v>
      </c>
      <c r="I351">
        <v>170.9</v>
      </c>
      <c r="J351">
        <v>186.4</v>
      </c>
      <c r="K351">
        <v>164.7</v>
      </c>
      <c r="L351">
        <v>115.7</v>
      </c>
      <c r="M351">
        <v>165.5</v>
      </c>
      <c r="N351">
        <v>153.4</v>
      </c>
      <c r="O351">
        <v>173.5</v>
      </c>
      <c r="P351">
        <v>167.9</v>
      </c>
      <c r="Q351">
        <v>195.5</v>
      </c>
      <c r="R351">
        <v>157.9</v>
      </c>
      <c r="S351">
        <v>141.9</v>
      </c>
      <c r="T351">
        <v>155.5</v>
      </c>
      <c r="U351">
        <v>161.5</v>
      </c>
      <c r="V351">
        <v>157.69999999999999</v>
      </c>
      <c r="W351">
        <v>150.69999999999999</v>
      </c>
      <c r="X351">
        <v>161.5</v>
      </c>
      <c r="Y351">
        <v>149.5</v>
      </c>
      <c r="Z351">
        <v>151.19999999999999</v>
      </c>
      <c r="AA351">
        <v>160.30000000000001</v>
      </c>
      <c r="AB351">
        <v>159.6</v>
      </c>
      <c r="AC351">
        <v>155</v>
      </c>
      <c r="AD351">
        <v>161.80000000000001</v>
      </c>
    </row>
    <row r="352" spans="1:30" x14ac:dyDescent="0.25">
      <c r="A352" t="s">
        <v>33</v>
      </c>
      <c r="B352">
        <v>2021</v>
      </c>
      <c r="C352" t="s">
        <v>41</v>
      </c>
      <c r="D352">
        <v>149.30000000000001</v>
      </c>
      <c r="E352">
        <v>207.4</v>
      </c>
      <c r="F352">
        <v>174.1</v>
      </c>
      <c r="G352">
        <v>159.19999999999999</v>
      </c>
      <c r="H352">
        <v>175</v>
      </c>
      <c r="I352">
        <v>161.30000000000001</v>
      </c>
      <c r="J352">
        <v>183.3</v>
      </c>
      <c r="K352">
        <v>164.5</v>
      </c>
      <c r="L352">
        <v>120.4</v>
      </c>
      <c r="M352">
        <v>166.2</v>
      </c>
      <c r="N352">
        <v>154.80000000000001</v>
      </c>
      <c r="O352">
        <v>175.1</v>
      </c>
      <c r="P352">
        <v>167.3</v>
      </c>
      <c r="Q352">
        <v>196.5</v>
      </c>
      <c r="R352">
        <v>159.80000000000001</v>
      </c>
      <c r="S352">
        <v>143.6</v>
      </c>
      <c r="T352">
        <v>157.30000000000001</v>
      </c>
      <c r="U352">
        <v>162.1</v>
      </c>
      <c r="V352">
        <v>160.69999999999999</v>
      </c>
      <c r="W352">
        <v>153.19999999999999</v>
      </c>
      <c r="X352">
        <v>162.80000000000001</v>
      </c>
      <c r="Y352">
        <v>150.4</v>
      </c>
      <c r="Z352">
        <v>153.69999999999999</v>
      </c>
      <c r="AA352">
        <v>160.4</v>
      </c>
      <c r="AB352">
        <v>159.6</v>
      </c>
      <c r="AC352">
        <v>156</v>
      </c>
      <c r="AD352">
        <v>162.30000000000001</v>
      </c>
    </row>
    <row r="353" spans="1:30" x14ac:dyDescent="0.25">
      <c r="A353" t="s">
        <v>33</v>
      </c>
      <c r="B353">
        <v>2021</v>
      </c>
      <c r="C353" t="s">
        <v>42</v>
      </c>
      <c r="D353">
        <v>149.30000000000001</v>
      </c>
      <c r="E353">
        <v>207.4</v>
      </c>
      <c r="F353">
        <v>174.1</v>
      </c>
      <c r="G353">
        <v>159.1</v>
      </c>
      <c r="H353">
        <v>175</v>
      </c>
      <c r="I353">
        <v>161.19999999999999</v>
      </c>
      <c r="J353">
        <v>183.5</v>
      </c>
      <c r="K353">
        <v>164.5</v>
      </c>
      <c r="L353">
        <v>120.4</v>
      </c>
      <c r="M353">
        <v>166.2</v>
      </c>
      <c r="N353">
        <v>154.80000000000001</v>
      </c>
      <c r="O353">
        <v>175.1</v>
      </c>
      <c r="P353">
        <v>167.3</v>
      </c>
      <c r="Q353">
        <v>196.5</v>
      </c>
      <c r="R353">
        <v>159.80000000000001</v>
      </c>
      <c r="S353">
        <v>143.6</v>
      </c>
      <c r="T353">
        <v>157.4</v>
      </c>
      <c r="U353">
        <v>162.1</v>
      </c>
      <c r="V353">
        <v>160.80000000000001</v>
      </c>
      <c r="W353">
        <v>153.30000000000001</v>
      </c>
      <c r="X353">
        <v>162.80000000000001</v>
      </c>
      <c r="Y353">
        <v>150.5</v>
      </c>
      <c r="Z353">
        <v>153.9</v>
      </c>
      <c r="AA353">
        <v>160.30000000000001</v>
      </c>
      <c r="AB353">
        <v>159.6</v>
      </c>
      <c r="AC353">
        <v>156</v>
      </c>
      <c r="AD353">
        <v>162.30000000000001</v>
      </c>
    </row>
    <row r="354" spans="1:30" x14ac:dyDescent="0.25">
      <c r="A354" t="s">
        <v>33</v>
      </c>
      <c r="B354">
        <v>2021</v>
      </c>
      <c r="C354" t="s">
        <v>43</v>
      </c>
      <c r="D354">
        <v>150.1</v>
      </c>
      <c r="E354">
        <v>208.4</v>
      </c>
      <c r="F354">
        <v>173</v>
      </c>
      <c r="G354">
        <v>159.19999999999999</v>
      </c>
      <c r="H354">
        <v>176.6</v>
      </c>
      <c r="I354">
        <v>159.30000000000001</v>
      </c>
      <c r="J354">
        <v>214.4</v>
      </c>
      <c r="K354">
        <v>165.3</v>
      </c>
      <c r="L354">
        <v>122.5</v>
      </c>
      <c r="M354">
        <v>166.8</v>
      </c>
      <c r="N354">
        <v>155.4</v>
      </c>
      <c r="O354">
        <v>175.9</v>
      </c>
      <c r="P354">
        <v>171.5</v>
      </c>
      <c r="Q354">
        <v>197</v>
      </c>
      <c r="R354">
        <v>160.80000000000001</v>
      </c>
      <c r="S354">
        <v>144.4</v>
      </c>
      <c r="T354">
        <v>158.30000000000001</v>
      </c>
      <c r="U354">
        <v>163.6</v>
      </c>
      <c r="V354">
        <v>162.19999999999999</v>
      </c>
      <c r="W354">
        <v>154.30000000000001</v>
      </c>
      <c r="X354">
        <v>163.5</v>
      </c>
      <c r="Y354">
        <v>152.19999999999999</v>
      </c>
      <c r="Z354">
        <v>155.1</v>
      </c>
      <c r="AA354">
        <v>160.30000000000001</v>
      </c>
      <c r="AB354">
        <v>160.30000000000001</v>
      </c>
      <c r="AC354">
        <v>157</v>
      </c>
      <c r="AD354">
        <v>164.6</v>
      </c>
    </row>
    <row r="355" spans="1:30" x14ac:dyDescent="0.25">
      <c r="A355" t="s">
        <v>33</v>
      </c>
      <c r="B355">
        <v>2021</v>
      </c>
      <c r="C355" t="s">
        <v>45</v>
      </c>
      <c r="D355">
        <v>151</v>
      </c>
      <c r="E355">
        <v>204.9</v>
      </c>
      <c r="F355">
        <v>175.4</v>
      </c>
      <c r="G355">
        <v>159.6</v>
      </c>
      <c r="H355">
        <v>175.8</v>
      </c>
      <c r="I355">
        <v>160.30000000000001</v>
      </c>
      <c r="J355">
        <v>229.1</v>
      </c>
      <c r="K355">
        <v>165.1</v>
      </c>
      <c r="L355">
        <v>123.1</v>
      </c>
      <c r="M355">
        <v>167.2</v>
      </c>
      <c r="N355">
        <v>156.1</v>
      </c>
      <c r="O355">
        <v>176.8</v>
      </c>
      <c r="P355">
        <v>173.5</v>
      </c>
      <c r="Q355">
        <v>197</v>
      </c>
      <c r="R355">
        <v>162.30000000000001</v>
      </c>
      <c r="S355">
        <v>145.30000000000001</v>
      </c>
      <c r="T355">
        <v>159.69999999999999</v>
      </c>
      <c r="U355">
        <v>164.2</v>
      </c>
      <c r="V355">
        <v>161.6</v>
      </c>
      <c r="W355">
        <v>155.19999999999999</v>
      </c>
      <c r="X355">
        <v>164.2</v>
      </c>
      <c r="Y355">
        <v>151.19999999999999</v>
      </c>
      <c r="Z355">
        <v>156.69999999999999</v>
      </c>
      <c r="AA355">
        <v>160.80000000000001</v>
      </c>
      <c r="AB355">
        <v>161.80000000000001</v>
      </c>
      <c r="AC355">
        <v>157.30000000000001</v>
      </c>
      <c r="AD355">
        <v>165.6</v>
      </c>
    </row>
    <row r="356" spans="1:30" x14ac:dyDescent="0.25">
      <c r="A356" t="s">
        <v>33</v>
      </c>
      <c r="B356">
        <v>2021</v>
      </c>
      <c r="C356" t="s">
        <v>46</v>
      </c>
      <c r="D356">
        <v>151.6</v>
      </c>
      <c r="E356">
        <v>202.2</v>
      </c>
      <c r="F356">
        <v>180</v>
      </c>
      <c r="G356">
        <v>160</v>
      </c>
      <c r="H356">
        <v>173.5</v>
      </c>
      <c r="I356">
        <v>158.30000000000001</v>
      </c>
      <c r="J356">
        <v>219.5</v>
      </c>
      <c r="K356">
        <v>164.2</v>
      </c>
      <c r="L356">
        <v>121.9</v>
      </c>
      <c r="M356">
        <v>168.2</v>
      </c>
      <c r="N356">
        <v>156.5</v>
      </c>
      <c r="O356">
        <v>178.2</v>
      </c>
      <c r="P356">
        <v>172.2</v>
      </c>
      <c r="Q356">
        <v>196.8</v>
      </c>
      <c r="R356">
        <v>163.30000000000001</v>
      </c>
      <c r="S356">
        <v>146.69999999999999</v>
      </c>
      <c r="T356">
        <v>160.69999999999999</v>
      </c>
      <c r="U356">
        <v>163.4</v>
      </c>
      <c r="V356">
        <v>161.69999999999999</v>
      </c>
      <c r="W356">
        <v>156</v>
      </c>
      <c r="X356">
        <v>165.1</v>
      </c>
      <c r="Y356">
        <v>151.80000000000001</v>
      </c>
      <c r="Z356">
        <v>157.6</v>
      </c>
      <c r="AA356">
        <v>160.6</v>
      </c>
      <c r="AB356">
        <v>162.4</v>
      </c>
      <c r="AC356">
        <v>157.80000000000001</v>
      </c>
      <c r="AD356">
        <v>165.2</v>
      </c>
    </row>
    <row r="357" spans="1:30" x14ac:dyDescent="0.25">
      <c r="A357" t="s">
        <v>33</v>
      </c>
      <c r="B357">
        <v>2022</v>
      </c>
      <c r="C357" t="s">
        <v>31</v>
      </c>
      <c r="D357">
        <v>152.19999999999999</v>
      </c>
      <c r="E357">
        <v>202.1</v>
      </c>
      <c r="F357">
        <v>180.1</v>
      </c>
      <c r="G357">
        <v>160.4</v>
      </c>
      <c r="H357">
        <v>171</v>
      </c>
      <c r="I357">
        <v>156.5</v>
      </c>
      <c r="J357">
        <v>203.6</v>
      </c>
      <c r="K357">
        <v>163.80000000000001</v>
      </c>
      <c r="L357">
        <v>121.3</v>
      </c>
      <c r="M357">
        <v>169.8</v>
      </c>
      <c r="N357">
        <v>156.6</v>
      </c>
      <c r="O357">
        <v>179</v>
      </c>
      <c r="P357">
        <v>170.3</v>
      </c>
      <c r="Q357">
        <v>196.4</v>
      </c>
      <c r="R357">
        <v>164.7</v>
      </c>
      <c r="S357">
        <v>148.5</v>
      </c>
      <c r="T357">
        <v>162.19999999999999</v>
      </c>
      <c r="U357">
        <v>164.5</v>
      </c>
      <c r="V357">
        <v>161.6</v>
      </c>
      <c r="W357">
        <v>156.80000000000001</v>
      </c>
      <c r="X357">
        <v>166.1</v>
      </c>
      <c r="Y357">
        <v>152.69999999999999</v>
      </c>
      <c r="Z357">
        <v>158.4</v>
      </c>
      <c r="AA357">
        <v>161</v>
      </c>
      <c r="AB357">
        <v>162.80000000000001</v>
      </c>
      <c r="AC357">
        <v>158.6</v>
      </c>
      <c r="AD357">
        <v>165</v>
      </c>
    </row>
    <row r="358" spans="1:30" x14ac:dyDescent="0.25">
      <c r="A358" t="s">
        <v>33</v>
      </c>
      <c r="B358">
        <v>2022</v>
      </c>
      <c r="C358" t="s">
        <v>35</v>
      </c>
      <c r="D358">
        <v>152.5</v>
      </c>
      <c r="E358">
        <v>205.2</v>
      </c>
      <c r="F358">
        <v>176.4</v>
      </c>
      <c r="G358">
        <v>160.6</v>
      </c>
      <c r="H358">
        <v>171.5</v>
      </c>
      <c r="I358">
        <v>156.4</v>
      </c>
      <c r="J358">
        <v>198</v>
      </c>
      <c r="K358">
        <v>163.19999999999999</v>
      </c>
      <c r="L358">
        <v>120.6</v>
      </c>
      <c r="M358">
        <v>172.2</v>
      </c>
      <c r="N358">
        <v>156.69999999999999</v>
      </c>
      <c r="O358">
        <v>180</v>
      </c>
      <c r="P358">
        <v>170.2</v>
      </c>
      <c r="Q358">
        <v>196.5</v>
      </c>
      <c r="R358">
        <v>165.7</v>
      </c>
      <c r="S358">
        <v>150.4</v>
      </c>
      <c r="T358">
        <v>163.4</v>
      </c>
      <c r="U358">
        <v>165.5</v>
      </c>
      <c r="V358">
        <v>163</v>
      </c>
      <c r="W358">
        <v>157.4</v>
      </c>
      <c r="X358">
        <v>167.2</v>
      </c>
      <c r="Y358">
        <v>153.1</v>
      </c>
      <c r="Z358">
        <v>159.5</v>
      </c>
      <c r="AA358">
        <v>162</v>
      </c>
      <c r="AB358">
        <v>164.2</v>
      </c>
      <c r="AC358">
        <v>159.4</v>
      </c>
      <c r="AD358">
        <v>165.5</v>
      </c>
    </row>
    <row r="359" spans="1:30" x14ac:dyDescent="0.25">
      <c r="A359" t="s">
        <v>33</v>
      </c>
      <c r="B359">
        <v>2022</v>
      </c>
      <c r="C359" t="s">
        <v>36</v>
      </c>
      <c r="D359">
        <v>153.69999999999999</v>
      </c>
      <c r="E359">
        <v>215.8</v>
      </c>
      <c r="F359">
        <v>167.7</v>
      </c>
      <c r="G359">
        <v>162.6</v>
      </c>
      <c r="H359">
        <v>180</v>
      </c>
      <c r="I359">
        <v>159.6</v>
      </c>
      <c r="J359">
        <v>188.4</v>
      </c>
      <c r="K359">
        <v>163.4</v>
      </c>
      <c r="L359">
        <v>120.3</v>
      </c>
      <c r="M359">
        <v>174.7</v>
      </c>
      <c r="N359">
        <v>157.1</v>
      </c>
      <c r="O359">
        <v>181.5</v>
      </c>
      <c r="P359">
        <v>171.5</v>
      </c>
      <c r="Q359">
        <v>197.5</v>
      </c>
      <c r="R359">
        <v>167.1</v>
      </c>
      <c r="S359">
        <v>152.6</v>
      </c>
      <c r="T359">
        <v>164.9</v>
      </c>
      <c r="U359">
        <v>165.3</v>
      </c>
      <c r="V359">
        <v>164.5</v>
      </c>
      <c r="W359">
        <v>158.6</v>
      </c>
      <c r="X359">
        <v>168.2</v>
      </c>
      <c r="Y359">
        <v>154.19999999999999</v>
      </c>
      <c r="Z359">
        <v>160.80000000000001</v>
      </c>
      <c r="AA359">
        <v>162.69999999999999</v>
      </c>
      <c r="AB359">
        <v>166.8</v>
      </c>
      <c r="AC359">
        <v>160.6</v>
      </c>
      <c r="AD359">
        <v>166.5</v>
      </c>
    </row>
    <row r="360" spans="1:30" x14ac:dyDescent="0.25">
      <c r="A360" t="s">
        <v>33</v>
      </c>
      <c r="B360">
        <v>2022</v>
      </c>
      <c r="C360" t="s">
        <v>37</v>
      </c>
      <c r="D360">
        <v>155.4</v>
      </c>
      <c r="E360">
        <v>215.8</v>
      </c>
      <c r="F360">
        <v>164.6</v>
      </c>
      <c r="G360">
        <v>164.2</v>
      </c>
      <c r="H360">
        <v>186</v>
      </c>
      <c r="I360">
        <v>175.9</v>
      </c>
      <c r="J360">
        <v>190.7</v>
      </c>
      <c r="K360">
        <v>164</v>
      </c>
      <c r="L360">
        <v>120.5</v>
      </c>
      <c r="M360">
        <v>178</v>
      </c>
      <c r="N360">
        <v>157.5</v>
      </c>
      <c r="O360">
        <v>183.3</v>
      </c>
      <c r="P360">
        <v>174.5</v>
      </c>
      <c r="Q360">
        <v>197.1</v>
      </c>
      <c r="R360">
        <v>168.4</v>
      </c>
      <c r="S360">
        <v>154.5</v>
      </c>
      <c r="T360">
        <v>166.3</v>
      </c>
      <c r="U360">
        <v>167</v>
      </c>
      <c r="V360">
        <v>170.5</v>
      </c>
      <c r="W360">
        <v>159.80000000000001</v>
      </c>
      <c r="X360">
        <v>169</v>
      </c>
      <c r="Y360">
        <v>159.30000000000001</v>
      </c>
      <c r="Z360">
        <v>162.19999999999999</v>
      </c>
      <c r="AA360">
        <v>164</v>
      </c>
      <c r="AB360">
        <v>168.4</v>
      </c>
      <c r="AC360">
        <v>163.1</v>
      </c>
      <c r="AD360">
        <v>169.2</v>
      </c>
    </row>
    <row r="361" spans="1:30" x14ac:dyDescent="0.25">
      <c r="A361" t="s">
        <v>33</v>
      </c>
      <c r="B361">
        <v>2022</v>
      </c>
      <c r="C361" t="s">
        <v>38</v>
      </c>
      <c r="D361">
        <v>156.69999999999999</v>
      </c>
      <c r="E361">
        <v>221.2</v>
      </c>
      <c r="F361">
        <v>164.1</v>
      </c>
      <c r="G361">
        <v>165.4</v>
      </c>
      <c r="H361">
        <v>189.5</v>
      </c>
      <c r="I361">
        <v>174.5</v>
      </c>
      <c r="J361">
        <v>203.2</v>
      </c>
      <c r="K361">
        <v>164.1</v>
      </c>
      <c r="L361">
        <v>121.2</v>
      </c>
      <c r="M361">
        <v>181.4</v>
      </c>
      <c r="N361">
        <v>158.5</v>
      </c>
      <c r="O361">
        <v>184.9</v>
      </c>
      <c r="P361">
        <v>177.5</v>
      </c>
      <c r="Q361">
        <v>197.5</v>
      </c>
      <c r="R361">
        <v>170</v>
      </c>
      <c r="S361">
        <v>155.9</v>
      </c>
      <c r="T361">
        <v>167.8</v>
      </c>
      <c r="U361">
        <v>167.5</v>
      </c>
      <c r="V361">
        <v>173.5</v>
      </c>
      <c r="W361">
        <v>161.1</v>
      </c>
      <c r="X361">
        <v>170.1</v>
      </c>
      <c r="Y361">
        <v>159.4</v>
      </c>
      <c r="Z361">
        <v>163.19999999999999</v>
      </c>
      <c r="AA361">
        <v>165.2</v>
      </c>
      <c r="AB361">
        <v>168.2</v>
      </c>
      <c r="AC361">
        <v>163.80000000000001</v>
      </c>
      <c r="AD361">
        <v>170.8</v>
      </c>
    </row>
    <row r="362" spans="1:30" x14ac:dyDescent="0.25">
      <c r="A362" t="s">
        <v>33</v>
      </c>
      <c r="B362">
        <v>2022</v>
      </c>
      <c r="C362" t="s">
        <v>39</v>
      </c>
      <c r="D362">
        <v>157.5</v>
      </c>
      <c r="E362">
        <v>223.4</v>
      </c>
      <c r="F362">
        <v>172.8</v>
      </c>
      <c r="G362">
        <v>166.4</v>
      </c>
      <c r="H362">
        <v>188.6</v>
      </c>
      <c r="I362">
        <v>174.1</v>
      </c>
      <c r="J362">
        <v>211.5</v>
      </c>
      <c r="K362">
        <v>163.6</v>
      </c>
      <c r="L362">
        <v>121.4</v>
      </c>
      <c r="M362">
        <v>183.5</v>
      </c>
      <c r="N362">
        <v>159.1</v>
      </c>
      <c r="O362">
        <v>186.3</v>
      </c>
      <c r="P362">
        <v>179.3</v>
      </c>
      <c r="Q362">
        <v>198.3</v>
      </c>
      <c r="R362">
        <v>171.6</v>
      </c>
      <c r="S362">
        <v>157.4</v>
      </c>
      <c r="T362">
        <v>169.4</v>
      </c>
      <c r="U362">
        <v>166.8</v>
      </c>
      <c r="V362">
        <v>174.9</v>
      </c>
      <c r="W362">
        <v>162.1</v>
      </c>
      <c r="X362">
        <v>170.9</v>
      </c>
      <c r="Y362">
        <v>157.19999999999999</v>
      </c>
      <c r="Z362">
        <v>164.1</v>
      </c>
      <c r="AA362">
        <v>166.5</v>
      </c>
      <c r="AB362">
        <v>169.2</v>
      </c>
      <c r="AC362">
        <v>163.80000000000001</v>
      </c>
      <c r="AD362">
        <v>171.4</v>
      </c>
    </row>
    <row r="363" spans="1:30" x14ac:dyDescent="0.25">
      <c r="A363" t="s">
        <v>33</v>
      </c>
      <c r="B363">
        <v>2022</v>
      </c>
      <c r="C363" t="s">
        <v>40</v>
      </c>
      <c r="D363">
        <v>159.30000000000001</v>
      </c>
      <c r="E363">
        <v>217.1</v>
      </c>
      <c r="F363">
        <v>176.6</v>
      </c>
      <c r="G363">
        <v>167.1</v>
      </c>
      <c r="H363">
        <v>184.8</v>
      </c>
      <c r="I363">
        <v>179.5</v>
      </c>
      <c r="J363">
        <v>208.5</v>
      </c>
      <c r="K363">
        <v>164</v>
      </c>
      <c r="L363">
        <v>121.5</v>
      </c>
      <c r="M363">
        <v>186.3</v>
      </c>
      <c r="N363">
        <v>159.80000000000001</v>
      </c>
      <c r="O363">
        <v>187.7</v>
      </c>
      <c r="P363">
        <v>179.4</v>
      </c>
      <c r="Q363">
        <v>198.6</v>
      </c>
      <c r="R363">
        <v>172.7</v>
      </c>
      <c r="S363">
        <v>158.69999999999999</v>
      </c>
      <c r="T363">
        <v>170.6</v>
      </c>
      <c r="U363">
        <v>167.8</v>
      </c>
      <c r="V363">
        <v>179.5</v>
      </c>
      <c r="W363">
        <v>163.1</v>
      </c>
      <c r="X363">
        <v>171.7</v>
      </c>
      <c r="Y363">
        <v>157.4</v>
      </c>
      <c r="Z363">
        <v>164.6</v>
      </c>
      <c r="AA363">
        <v>169.1</v>
      </c>
      <c r="AB363">
        <v>169.8</v>
      </c>
      <c r="AC363">
        <v>164.7</v>
      </c>
      <c r="AD363">
        <v>172.3</v>
      </c>
    </row>
    <row r="364" spans="1:30" x14ac:dyDescent="0.25">
      <c r="A364" t="s">
        <v>33</v>
      </c>
      <c r="B364">
        <v>2022</v>
      </c>
      <c r="C364" t="s">
        <v>41</v>
      </c>
      <c r="D364">
        <v>162.1</v>
      </c>
      <c r="E364">
        <v>210.9</v>
      </c>
      <c r="F364">
        <v>170.6</v>
      </c>
      <c r="G364">
        <v>168.4</v>
      </c>
      <c r="H364">
        <v>182.5</v>
      </c>
      <c r="I364">
        <v>177.1</v>
      </c>
      <c r="J364">
        <v>213.1</v>
      </c>
      <c r="K364">
        <v>167.3</v>
      </c>
      <c r="L364">
        <v>122.2</v>
      </c>
      <c r="M364">
        <v>189.7</v>
      </c>
      <c r="N364">
        <v>160.5</v>
      </c>
      <c r="O364">
        <v>188.9</v>
      </c>
      <c r="P364">
        <v>180.4</v>
      </c>
      <c r="Q364">
        <v>198.7</v>
      </c>
      <c r="R364">
        <v>173.7</v>
      </c>
      <c r="S364">
        <v>160</v>
      </c>
      <c r="T364">
        <v>171.6</v>
      </c>
      <c r="U364">
        <v>169</v>
      </c>
      <c r="V364">
        <v>178.4</v>
      </c>
      <c r="W364">
        <v>164.2</v>
      </c>
      <c r="X364">
        <v>172.6</v>
      </c>
      <c r="Y364">
        <v>157.69999999999999</v>
      </c>
      <c r="Z364">
        <v>165.1</v>
      </c>
      <c r="AA364">
        <v>169.9</v>
      </c>
      <c r="AB364">
        <v>171.4</v>
      </c>
      <c r="AC364">
        <v>165.4</v>
      </c>
      <c r="AD364">
        <v>173.1</v>
      </c>
    </row>
    <row r="365" spans="1:30" x14ac:dyDescent="0.25">
      <c r="A365" t="s">
        <v>33</v>
      </c>
      <c r="B365">
        <v>2022</v>
      </c>
      <c r="C365" t="s">
        <v>42</v>
      </c>
      <c r="D365">
        <v>164.9</v>
      </c>
      <c r="E365">
        <v>213.7</v>
      </c>
      <c r="F365">
        <v>170.9</v>
      </c>
      <c r="G365">
        <v>170.1</v>
      </c>
      <c r="H365">
        <v>179.3</v>
      </c>
      <c r="I365">
        <v>167.5</v>
      </c>
      <c r="J365">
        <v>220.8</v>
      </c>
      <c r="K365">
        <v>169.2</v>
      </c>
      <c r="L365">
        <v>123.1</v>
      </c>
      <c r="M365">
        <v>193.6</v>
      </c>
      <c r="N365">
        <v>161.1</v>
      </c>
      <c r="O365">
        <v>190.4</v>
      </c>
      <c r="P365">
        <v>181.8</v>
      </c>
      <c r="Q365">
        <v>199.7</v>
      </c>
      <c r="R365">
        <v>175</v>
      </c>
      <c r="S365">
        <v>161.69999999999999</v>
      </c>
      <c r="T365">
        <v>173</v>
      </c>
      <c r="U365">
        <v>169.5</v>
      </c>
      <c r="V365">
        <v>179.2</v>
      </c>
      <c r="W365">
        <v>165</v>
      </c>
      <c r="X365">
        <v>173.8</v>
      </c>
      <c r="Y365">
        <v>158.19999999999999</v>
      </c>
      <c r="Z365">
        <v>165.8</v>
      </c>
      <c r="AA365">
        <v>170.9</v>
      </c>
      <c r="AB365">
        <v>171.1</v>
      </c>
      <c r="AC365">
        <v>166.1</v>
      </c>
      <c r="AD365">
        <v>174.1</v>
      </c>
    </row>
    <row r="366" spans="1:30" x14ac:dyDescent="0.25">
      <c r="A366" t="s">
        <v>33</v>
      </c>
      <c r="B366">
        <v>2022</v>
      </c>
      <c r="C366" t="s">
        <v>43</v>
      </c>
      <c r="D366">
        <v>166.4</v>
      </c>
      <c r="E366">
        <v>214.9</v>
      </c>
      <c r="F366">
        <v>171.9</v>
      </c>
      <c r="G366">
        <v>171</v>
      </c>
      <c r="H366">
        <v>177.7</v>
      </c>
      <c r="I366">
        <v>165.7</v>
      </c>
      <c r="J366">
        <v>228.6</v>
      </c>
      <c r="K366">
        <v>169.9</v>
      </c>
      <c r="L366">
        <v>123.4</v>
      </c>
      <c r="M366">
        <v>196.4</v>
      </c>
      <c r="N366">
        <v>161.6</v>
      </c>
      <c r="O366">
        <v>191.5</v>
      </c>
      <c r="P366">
        <v>183.3</v>
      </c>
      <c r="Q366">
        <v>200.1</v>
      </c>
      <c r="R366">
        <v>175.5</v>
      </c>
      <c r="S366">
        <v>162.6</v>
      </c>
      <c r="T366">
        <v>173.6</v>
      </c>
      <c r="U366">
        <v>171.2</v>
      </c>
      <c r="V366">
        <v>180</v>
      </c>
      <c r="W366">
        <v>166</v>
      </c>
      <c r="X366">
        <v>174.7</v>
      </c>
      <c r="Y366">
        <v>158.80000000000001</v>
      </c>
      <c r="Z366">
        <v>166.3</v>
      </c>
      <c r="AA366">
        <v>171.2</v>
      </c>
      <c r="AB366">
        <v>172.3</v>
      </c>
      <c r="AC366">
        <v>166.8</v>
      </c>
      <c r="AD366">
        <v>175.3</v>
      </c>
    </row>
    <row r="367" spans="1:30" x14ac:dyDescent="0.25">
      <c r="A367" t="s">
        <v>33</v>
      </c>
      <c r="B367">
        <v>2022</v>
      </c>
      <c r="C367" t="s">
        <v>45</v>
      </c>
      <c r="D367">
        <v>168.4</v>
      </c>
      <c r="E367">
        <v>213.4</v>
      </c>
      <c r="F367">
        <v>183.2</v>
      </c>
      <c r="G367">
        <v>172.3</v>
      </c>
      <c r="H367">
        <v>180</v>
      </c>
      <c r="I367">
        <v>162.6</v>
      </c>
      <c r="J367">
        <v>205.5</v>
      </c>
      <c r="K367">
        <v>171</v>
      </c>
      <c r="L367">
        <v>123.4</v>
      </c>
      <c r="M367">
        <v>198.8</v>
      </c>
      <c r="N367">
        <v>162.1</v>
      </c>
      <c r="O367">
        <v>192.4</v>
      </c>
      <c r="P367">
        <v>181.3</v>
      </c>
      <c r="Q367">
        <v>200.6</v>
      </c>
      <c r="R367">
        <v>176.7</v>
      </c>
      <c r="S367">
        <v>163.5</v>
      </c>
      <c r="T367">
        <v>174.7</v>
      </c>
      <c r="U367">
        <v>171.8</v>
      </c>
      <c r="V367">
        <v>180.3</v>
      </c>
      <c r="W367">
        <v>166.9</v>
      </c>
      <c r="X367">
        <v>175.8</v>
      </c>
      <c r="Y367">
        <v>158.9</v>
      </c>
      <c r="Z367">
        <v>166.7</v>
      </c>
      <c r="AA367">
        <v>171.5</v>
      </c>
      <c r="AB367">
        <v>173.8</v>
      </c>
      <c r="AC367">
        <v>167.4</v>
      </c>
      <c r="AD367">
        <v>174.1</v>
      </c>
    </row>
    <row r="368" spans="1:30" x14ac:dyDescent="0.25">
      <c r="A368" t="s">
        <v>33</v>
      </c>
      <c r="B368">
        <v>2022</v>
      </c>
      <c r="C368" t="s">
        <v>46</v>
      </c>
      <c r="D368">
        <v>170.2</v>
      </c>
      <c r="E368">
        <v>212.9</v>
      </c>
      <c r="F368">
        <v>191.9</v>
      </c>
      <c r="G368">
        <v>173.9</v>
      </c>
      <c r="H368">
        <v>179.1</v>
      </c>
      <c r="I368">
        <v>159.5</v>
      </c>
      <c r="J368">
        <v>178.7</v>
      </c>
      <c r="K368">
        <v>171.3</v>
      </c>
      <c r="L368">
        <v>123.1</v>
      </c>
      <c r="M368">
        <v>200.5</v>
      </c>
      <c r="N368">
        <v>162.80000000000001</v>
      </c>
      <c r="O368">
        <v>193.3</v>
      </c>
      <c r="P368">
        <v>178.6</v>
      </c>
      <c r="Q368">
        <v>201.1</v>
      </c>
      <c r="R368">
        <v>177.7</v>
      </c>
      <c r="S368">
        <v>164.5</v>
      </c>
      <c r="T368">
        <v>175.7</v>
      </c>
      <c r="U368">
        <v>170.7</v>
      </c>
      <c r="V368">
        <v>180.6</v>
      </c>
      <c r="W368">
        <v>167.3</v>
      </c>
      <c r="X368">
        <v>177.2</v>
      </c>
      <c r="Y368">
        <v>159.4</v>
      </c>
      <c r="Z368">
        <v>167.1</v>
      </c>
      <c r="AA368">
        <v>171.8</v>
      </c>
      <c r="AB368">
        <v>176</v>
      </c>
      <c r="AC368">
        <v>168.2</v>
      </c>
      <c r="AD368">
        <v>174.1</v>
      </c>
    </row>
    <row r="369" spans="1:30" x14ac:dyDescent="0.25">
      <c r="A369" t="s">
        <v>33</v>
      </c>
      <c r="B369">
        <v>2023</v>
      </c>
      <c r="C369" t="s">
        <v>31</v>
      </c>
      <c r="D369">
        <v>173.3</v>
      </c>
      <c r="E369">
        <v>215.2</v>
      </c>
      <c r="F369">
        <v>197</v>
      </c>
      <c r="G369">
        <v>175.2</v>
      </c>
      <c r="H369">
        <v>178</v>
      </c>
      <c r="I369">
        <v>160.5</v>
      </c>
      <c r="J369">
        <v>175.3</v>
      </c>
      <c r="K369">
        <v>171.2</v>
      </c>
      <c r="L369">
        <v>122.7</v>
      </c>
      <c r="M369">
        <v>204.3</v>
      </c>
      <c r="N369">
        <v>163.69999999999999</v>
      </c>
      <c r="O369">
        <v>194.3</v>
      </c>
      <c r="P369">
        <v>179.5</v>
      </c>
      <c r="Q369">
        <v>201.6</v>
      </c>
      <c r="R369">
        <v>178.7</v>
      </c>
      <c r="S369">
        <v>165.3</v>
      </c>
      <c r="T369">
        <v>176.6</v>
      </c>
      <c r="U369">
        <v>172.1</v>
      </c>
      <c r="V369">
        <v>180.1</v>
      </c>
      <c r="W369">
        <v>168</v>
      </c>
      <c r="X369">
        <v>178.5</v>
      </c>
      <c r="Y369">
        <v>159.5</v>
      </c>
      <c r="Z369">
        <v>167.8</v>
      </c>
      <c r="AA369">
        <v>171.8</v>
      </c>
      <c r="AB369">
        <v>178.8</v>
      </c>
      <c r="AC369">
        <v>168.9</v>
      </c>
      <c r="AD369">
        <v>174.9</v>
      </c>
    </row>
    <row r="370" spans="1:30" x14ac:dyDescent="0.25">
      <c r="A370" t="s">
        <v>33</v>
      </c>
      <c r="B370">
        <v>2023</v>
      </c>
      <c r="C370" t="s">
        <v>35</v>
      </c>
      <c r="D370">
        <v>174.7</v>
      </c>
      <c r="E370">
        <v>212.2</v>
      </c>
      <c r="F370">
        <v>177.2</v>
      </c>
      <c r="G370">
        <v>177.9</v>
      </c>
      <c r="H370">
        <v>172.2</v>
      </c>
      <c r="I370">
        <v>172.1</v>
      </c>
      <c r="J370">
        <v>175.8</v>
      </c>
      <c r="K370">
        <v>172.2</v>
      </c>
      <c r="L370">
        <v>121.9</v>
      </c>
      <c r="M370">
        <v>204.8</v>
      </c>
      <c r="N370">
        <v>164.9</v>
      </c>
      <c r="O370">
        <v>196.6</v>
      </c>
      <c r="P370">
        <v>180.7</v>
      </c>
      <c r="Q370">
        <v>202.7</v>
      </c>
      <c r="R370">
        <v>180.3</v>
      </c>
      <c r="S370">
        <v>167</v>
      </c>
      <c r="T370">
        <v>178.2</v>
      </c>
      <c r="U370">
        <v>173.5</v>
      </c>
      <c r="V370">
        <v>182.8</v>
      </c>
      <c r="W370">
        <v>169.2</v>
      </c>
      <c r="X370">
        <v>180.8</v>
      </c>
      <c r="Y370">
        <v>159.80000000000001</v>
      </c>
      <c r="Z370">
        <v>168.4</v>
      </c>
      <c r="AA370">
        <v>172.5</v>
      </c>
      <c r="AB370">
        <v>181.4</v>
      </c>
      <c r="AC370">
        <v>170</v>
      </c>
      <c r="AD370">
        <v>176.3</v>
      </c>
    </row>
    <row r="371" spans="1:30" x14ac:dyDescent="0.25">
      <c r="A371" t="s">
        <v>33</v>
      </c>
      <c r="B371">
        <v>2023</v>
      </c>
      <c r="C371" t="s">
        <v>36</v>
      </c>
      <c r="D371">
        <v>174.7</v>
      </c>
      <c r="E371">
        <v>212.2</v>
      </c>
      <c r="F371">
        <v>177.2</v>
      </c>
      <c r="G371">
        <v>177.9</v>
      </c>
      <c r="H371">
        <v>172.2</v>
      </c>
      <c r="I371">
        <v>172.1</v>
      </c>
      <c r="J371">
        <v>175.9</v>
      </c>
      <c r="K371">
        <v>172.2</v>
      </c>
      <c r="L371">
        <v>121.9</v>
      </c>
      <c r="M371">
        <v>204.8</v>
      </c>
      <c r="N371">
        <v>164.9</v>
      </c>
      <c r="O371">
        <v>196.6</v>
      </c>
      <c r="P371">
        <v>180.8</v>
      </c>
      <c r="Q371">
        <v>202.7</v>
      </c>
      <c r="R371">
        <v>180.2</v>
      </c>
      <c r="S371">
        <v>167</v>
      </c>
      <c r="T371">
        <v>178.2</v>
      </c>
      <c r="U371">
        <v>173.5</v>
      </c>
      <c r="V371">
        <v>182.6</v>
      </c>
      <c r="W371">
        <v>169.2</v>
      </c>
      <c r="X371">
        <v>180.8</v>
      </c>
      <c r="Y371">
        <v>159.80000000000001</v>
      </c>
      <c r="Z371">
        <v>168.4</v>
      </c>
      <c r="AA371">
        <v>172.5</v>
      </c>
      <c r="AB371">
        <v>181.5</v>
      </c>
      <c r="AC371">
        <v>170</v>
      </c>
      <c r="AD371">
        <v>176.3</v>
      </c>
    </row>
    <row r="372" spans="1:30" x14ac:dyDescent="0.25">
      <c r="A372" t="s">
        <v>33</v>
      </c>
      <c r="B372">
        <v>2023</v>
      </c>
      <c r="C372" t="s">
        <v>37</v>
      </c>
      <c r="D372">
        <v>174.8</v>
      </c>
      <c r="E372">
        <v>213.7</v>
      </c>
      <c r="F372">
        <v>172.4</v>
      </c>
      <c r="G372">
        <v>178.8</v>
      </c>
      <c r="H372">
        <v>168.7</v>
      </c>
      <c r="I372">
        <v>179.2</v>
      </c>
      <c r="J372">
        <v>179.9</v>
      </c>
      <c r="K372">
        <v>174.7</v>
      </c>
      <c r="L372">
        <v>123.1</v>
      </c>
      <c r="M372">
        <v>207.8</v>
      </c>
      <c r="N372">
        <v>165.5</v>
      </c>
      <c r="O372">
        <v>197</v>
      </c>
      <c r="P372">
        <v>182.1</v>
      </c>
      <c r="Q372">
        <v>203.5</v>
      </c>
      <c r="R372">
        <v>181</v>
      </c>
      <c r="S372">
        <v>167.7</v>
      </c>
      <c r="T372">
        <v>178.9</v>
      </c>
      <c r="U372">
        <v>175.2</v>
      </c>
      <c r="V372">
        <v>182.1</v>
      </c>
      <c r="W372">
        <v>169.6</v>
      </c>
      <c r="X372">
        <v>181.5</v>
      </c>
      <c r="Y372">
        <v>160.1</v>
      </c>
      <c r="Z372">
        <v>168.8</v>
      </c>
      <c r="AA372">
        <v>174.2</v>
      </c>
      <c r="AB372">
        <v>184.4</v>
      </c>
      <c r="AC372">
        <v>170.9</v>
      </c>
      <c r="AD372">
        <v>177.4</v>
      </c>
    </row>
    <row r="373" spans="1:30" x14ac:dyDescent="0.25">
      <c r="A373" t="s">
        <v>33</v>
      </c>
      <c r="B373">
        <v>2023</v>
      </c>
      <c r="C373" t="s">
        <v>38</v>
      </c>
      <c r="D373">
        <v>174.7</v>
      </c>
      <c r="E373">
        <v>219.4</v>
      </c>
      <c r="F373">
        <v>176.7</v>
      </c>
      <c r="G373">
        <v>179.4</v>
      </c>
      <c r="H373">
        <v>164.4</v>
      </c>
      <c r="I373">
        <v>175.8</v>
      </c>
      <c r="J373">
        <v>185</v>
      </c>
      <c r="K373">
        <v>176.9</v>
      </c>
      <c r="L373">
        <v>124.2</v>
      </c>
      <c r="M373">
        <v>211.9</v>
      </c>
      <c r="N373">
        <v>165.9</v>
      </c>
      <c r="O373">
        <v>197.7</v>
      </c>
      <c r="P373">
        <v>183.1</v>
      </c>
      <c r="Q373">
        <v>204.2</v>
      </c>
      <c r="R373">
        <v>181.3</v>
      </c>
      <c r="S373">
        <v>168.1</v>
      </c>
      <c r="T373">
        <v>179.3</v>
      </c>
      <c r="U373">
        <v>175.6</v>
      </c>
      <c r="V373">
        <v>183.4</v>
      </c>
      <c r="W373">
        <v>170.1</v>
      </c>
      <c r="X373">
        <v>182.2</v>
      </c>
      <c r="Y373">
        <v>160.4</v>
      </c>
      <c r="Z373">
        <v>169.2</v>
      </c>
      <c r="AA373">
        <v>174.8</v>
      </c>
      <c r="AB373">
        <v>185.6</v>
      </c>
      <c r="AC373">
        <v>171.6</v>
      </c>
      <c r="AD373">
        <v>178.2</v>
      </c>
    </row>
  </sheetData>
  <autoFilter ref="A1:AD373" xr:uid="{D221AB64-CE3C-46D2-80B5-44C053A1111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7A744-1993-4990-AE72-9DDFF0E043A9}">
  <dimension ref="A1:T119"/>
  <sheetViews>
    <sheetView zoomScale="70" zoomScaleNormal="70" workbookViewId="0">
      <selection activeCell="K22" sqref="K22"/>
    </sheetView>
  </sheetViews>
  <sheetFormatPr defaultRowHeight="15" x14ac:dyDescent="0.25"/>
  <cols>
    <col min="1" max="1" width="10.28515625" bestFit="1" customWidth="1"/>
    <col min="2" max="2" width="12" bestFit="1" customWidth="1"/>
    <col min="3" max="3" width="35.28515625" bestFit="1" customWidth="1"/>
    <col min="4" max="4" width="36.28515625" bestFit="1" customWidth="1"/>
    <col min="5" max="5" width="13.140625" bestFit="1" customWidth="1"/>
    <col min="6" max="6" width="11.7109375" bestFit="1" customWidth="1"/>
    <col min="7" max="7" width="19.140625" bestFit="1" customWidth="1"/>
    <col min="8" max="8" width="8.5703125" bestFit="1" customWidth="1"/>
    <col min="9" max="9" width="14.28515625" bestFit="1" customWidth="1"/>
    <col min="12" max="12" width="30.7109375" bestFit="1" customWidth="1"/>
    <col min="13" max="13" width="14" bestFit="1" customWidth="1"/>
    <col min="16" max="16" width="15.85546875" bestFit="1" customWidth="1"/>
    <col min="17" max="17" width="10.28515625" bestFit="1" customWidth="1"/>
  </cols>
  <sheetData>
    <row r="1" spans="1:20" x14ac:dyDescent="0.25">
      <c r="A1" s="70" t="s">
        <v>51</v>
      </c>
      <c r="B1" s="70"/>
      <c r="C1" s="70"/>
      <c r="D1" s="70"/>
      <c r="E1" s="70"/>
      <c r="F1" s="70"/>
      <c r="G1" s="70"/>
      <c r="H1" s="70"/>
      <c r="I1" s="70"/>
      <c r="J1" s="70"/>
      <c r="K1" s="70"/>
      <c r="L1" s="70"/>
      <c r="M1" s="70"/>
      <c r="N1" s="70"/>
      <c r="O1" s="70"/>
      <c r="P1" s="70"/>
      <c r="Q1" s="70"/>
      <c r="R1" s="70"/>
      <c r="S1" s="70"/>
    </row>
    <row r="2" spans="1:20" x14ac:dyDescent="0.25">
      <c r="A2" s="70"/>
      <c r="B2" s="70"/>
      <c r="C2" s="70"/>
      <c r="D2" s="70"/>
      <c r="E2" s="70"/>
      <c r="F2" s="70"/>
      <c r="G2" s="70"/>
      <c r="H2" s="70"/>
      <c r="I2" s="70"/>
      <c r="J2" s="70"/>
      <c r="K2" s="70"/>
      <c r="L2" s="70"/>
      <c r="M2" s="70"/>
      <c r="N2" s="70"/>
      <c r="O2" s="70"/>
      <c r="P2" s="70"/>
      <c r="Q2" s="70"/>
      <c r="R2" s="70"/>
      <c r="S2" s="70"/>
    </row>
    <row r="3" spans="1:20" x14ac:dyDescent="0.25">
      <c r="A3" s="70"/>
      <c r="B3" s="70"/>
      <c r="C3" s="70"/>
      <c r="D3" s="70"/>
      <c r="E3" s="70"/>
      <c r="F3" s="70"/>
      <c r="G3" s="70"/>
      <c r="H3" s="70"/>
      <c r="I3" s="70"/>
      <c r="J3" s="70"/>
      <c r="K3" s="70"/>
      <c r="L3" s="70"/>
      <c r="M3" s="70"/>
      <c r="N3" s="70"/>
      <c r="O3" s="70"/>
      <c r="P3" s="70"/>
      <c r="Q3" s="70"/>
      <c r="R3" s="70"/>
      <c r="S3" s="70"/>
    </row>
    <row r="4" spans="1:20" x14ac:dyDescent="0.25">
      <c r="A4" s="70"/>
      <c r="B4" s="70"/>
      <c r="C4" s="70"/>
      <c r="D4" s="70"/>
      <c r="E4" s="70"/>
      <c r="F4" s="70"/>
      <c r="G4" s="70"/>
      <c r="H4" s="70"/>
      <c r="I4" s="70"/>
      <c r="J4" s="70"/>
      <c r="K4" s="70"/>
      <c r="L4" s="70"/>
      <c r="M4" s="70"/>
      <c r="N4" s="70"/>
      <c r="O4" s="70"/>
      <c r="P4" s="70"/>
      <c r="Q4" s="70"/>
      <c r="R4" s="70"/>
      <c r="S4" s="70"/>
    </row>
    <row r="5" spans="1:20" x14ac:dyDescent="0.25">
      <c r="A5" s="70"/>
      <c r="B5" s="70"/>
      <c r="C5" s="70"/>
      <c r="D5" s="70"/>
      <c r="E5" s="70"/>
      <c r="F5" s="70"/>
      <c r="G5" s="70"/>
      <c r="H5" s="70"/>
      <c r="I5" s="70"/>
      <c r="J5" s="70"/>
      <c r="K5" s="70"/>
      <c r="L5" s="70"/>
      <c r="M5" s="70"/>
      <c r="N5" s="70"/>
      <c r="O5" s="70"/>
      <c r="P5" s="70"/>
      <c r="Q5" s="70"/>
      <c r="R5" s="70"/>
      <c r="S5" s="70"/>
    </row>
    <row r="6" spans="1:20" x14ac:dyDescent="0.25">
      <c r="A6" s="70"/>
      <c r="B6" s="70"/>
      <c r="C6" s="70"/>
      <c r="D6" s="70"/>
      <c r="E6" s="70"/>
      <c r="F6" s="70"/>
      <c r="G6" s="70"/>
      <c r="H6" s="70"/>
      <c r="I6" s="70"/>
      <c r="J6" s="70"/>
      <c r="K6" s="70"/>
      <c r="L6" s="70"/>
      <c r="M6" s="70"/>
      <c r="N6" s="70"/>
      <c r="O6" s="70"/>
      <c r="P6" s="70"/>
      <c r="Q6" s="70"/>
      <c r="R6" s="70"/>
      <c r="S6" s="70"/>
    </row>
    <row r="7" spans="1:20" ht="18.75" x14ac:dyDescent="0.25">
      <c r="A7" s="26"/>
      <c r="B7" s="26"/>
      <c r="C7" s="26"/>
      <c r="D7" s="26"/>
      <c r="E7" s="26"/>
      <c r="F7" s="26"/>
      <c r="G7" s="26"/>
      <c r="H7" s="26"/>
      <c r="I7" s="26"/>
      <c r="J7" s="26"/>
      <c r="K7" s="26"/>
      <c r="L7" s="26"/>
      <c r="M7" s="26"/>
      <c r="N7" s="26"/>
      <c r="O7" s="26"/>
      <c r="P7" s="26"/>
      <c r="Q7" s="26"/>
      <c r="R7" s="26"/>
      <c r="S7" s="26"/>
      <c r="T7" s="3"/>
    </row>
    <row r="8" spans="1:20" ht="18.75" customHeight="1" x14ac:dyDescent="0.25">
      <c r="B8" s="71" t="s">
        <v>70</v>
      </c>
      <c r="C8" s="72"/>
      <c r="D8" s="29"/>
      <c r="E8" s="26"/>
      <c r="F8" s="26"/>
      <c r="G8" s="26"/>
      <c r="H8" s="26"/>
      <c r="I8" s="26"/>
      <c r="J8" s="26"/>
      <c r="K8" s="26"/>
      <c r="L8" s="26"/>
      <c r="M8" s="26"/>
      <c r="N8" s="26"/>
      <c r="O8" s="26"/>
      <c r="P8" s="26"/>
      <c r="Q8" s="26"/>
      <c r="R8" s="26"/>
      <c r="S8" s="26"/>
      <c r="T8" s="3"/>
    </row>
    <row r="9" spans="1:20" ht="18.75" x14ac:dyDescent="0.25">
      <c r="A9" s="27"/>
      <c r="B9" s="73"/>
      <c r="C9" s="74"/>
      <c r="D9" s="29"/>
      <c r="E9" s="26"/>
      <c r="F9" s="26"/>
      <c r="G9" s="26"/>
      <c r="H9" s="26"/>
      <c r="I9" s="26"/>
      <c r="J9" s="26"/>
      <c r="K9" s="26"/>
      <c r="L9" s="26"/>
      <c r="M9" s="26"/>
      <c r="N9" s="26"/>
      <c r="O9" s="26"/>
      <c r="P9" s="26"/>
      <c r="Q9" s="26"/>
      <c r="R9" s="26"/>
      <c r="S9" s="26"/>
      <c r="T9" s="3"/>
    </row>
    <row r="10" spans="1:20" ht="19.5" x14ac:dyDescent="0.4">
      <c r="A10" s="31" t="s">
        <v>1</v>
      </c>
      <c r="B10" s="32" t="s">
        <v>2</v>
      </c>
      <c r="C10" s="33" t="s">
        <v>69</v>
      </c>
      <c r="D10" s="34" t="s">
        <v>71</v>
      </c>
      <c r="E10" s="33" t="s">
        <v>30</v>
      </c>
      <c r="F10" s="33" t="s">
        <v>33</v>
      </c>
      <c r="G10" s="35" t="s">
        <v>34</v>
      </c>
    </row>
    <row r="11" spans="1:20" ht="15.75" x14ac:dyDescent="0.25">
      <c r="A11" s="20">
        <v>2023</v>
      </c>
      <c r="B11" s="20" t="s">
        <v>38</v>
      </c>
      <c r="C11" s="30" t="s">
        <v>3</v>
      </c>
      <c r="D11" s="28" t="s">
        <v>73</v>
      </c>
      <c r="E11" s="20">
        <v>173.2</v>
      </c>
      <c r="F11" s="20">
        <v>174.7</v>
      </c>
      <c r="G11" s="20">
        <v>173.7</v>
      </c>
    </row>
    <row r="12" spans="1:20" ht="15.75" x14ac:dyDescent="0.25">
      <c r="A12" s="2">
        <v>2023</v>
      </c>
      <c r="B12" s="2" t="s">
        <v>38</v>
      </c>
      <c r="C12" s="28" t="s">
        <v>4</v>
      </c>
      <c r="D12" s="28" t="s">
        <v>73</v>
      </c>
      <c r="E12" s="2">
        <v>211.5</v>
      </c>
      <c r="F12" s="2">
        <v>219.4</v>
      </c>
      <c r="G12" s="2">
        <v>214.3</v>
      </c>
    </row>
    <row r="13" spans="1:20" ht="15.75" x14ac:dyDescent="0.25">
      <c r="A13" s="2">
        <v>2023</v>
      </c>
      <c r="B13" s="2" t="s">
        <v>38</v>
      </c>
      <c r="C13" s="28" t="s">
        <v>5</v>
      </c>
      <c r="D13" s="28" t="s">
        <v>73</v>
      </c>
      <c r="E13" s="2">
        <v>171</v>
      </c>
      <c r="F13" s="2">
        <v>176.7</v>
      </c>
      <c r="G13" s="2">
        <v>173.2</v>
      </c>
    </row>
    <row r="14" spans="1:20" ht="15.75" x14ac:dyDescent="0.25">
      <c r="A14" s="2">
        <v>2023</v>
      </c>
      <c r="B14" s="2" t="s">
        <v>38</v>
      </c>
      <c r="C14" s="28" t="s">
        <v>6</v>
      </c>
      <c r="D14" s="28" t="s">
        <v>73</v>
      </c>
      <c r="E14" s="2">
        <v>179.6</v>
      </c>
      <c r="F14" s="2">
        <v>179.4</v>
      </c>
      <c r="G14" s="2">
        <v>179.5</v>
      </c>
    </row>
    <row r="15" spans="1:20" ht="15.75" x14ac:dyDescent="0.25">
      <c r="A15" s="2">
        <v>2023</v>
      </c>
      <c r="B15" s="2" t="s">
        <v>38</v>
      </c>
      <c r="C15" s="28" t="s">
        <v>7</v>
      </c>
      <c r="D15" s="28" t="s">
        <v>73</v>
      </c>
      <c r="E15" s="2">
        <v>173.3</v>
      </c>
      <c r="F15" s="2">
        <v>164.4</v>
      </c>
      <c r="G15" s="2">
        <v>170</v>
      </c>
    </row>
    <row r="16" spans="1:20" ht="15.75" x14ac:dyDescent="0.25">
      <c r="A16" s="2">
        <v>2023</v>
      </c>
      <c r="B16" s="2" t="s">
        <v>38</v>
      </c>
      <c r="C16" s="28" t="s">
        <v>8</v>
      </c>
      <c r="D16" s="28" t="s">
        <v>73</v>
      </c>
      <c r="E16" s="2">
        <v>169</v>
      </c>
      <c r="F16" s="2">
        <v>175.8</v>
      </c>
      <c r="G16" s="2">
        <v>172.2</v>
      </c>
      <c r="L16" s="36" t="s">
        <v>0</v>
      </c>
      <c r="M16" t="s">
        <v>30</v>
      </c>
    </row>
    <row r="17" spans="1:13" ht="15.75" x14ac:dyDescent="0.25">
      <c r="A17" s="2">
        <v>2023</v>
      </c>
      <c r="B17" s="2" t="s">
        <v>38</v>
      </c>
      <c r="C17" s="28" t="s">
        <v>9</v>
      </c>
      <c r="D17" s="28" t="s">
        <v>73</v>
      </c>
      <c r="E17" s="2">
        <v>148.69999999999999</v>
      </c>
      <c r="F17" s="2">
        <v>185</v>
      </c>
      <c r="G17" s="2">
        <v>161</v>
      </c>
    </row>
    <row r="18" spans="1:13" ht="15.75" x14ac:dyDescent="0.25">
      <c r="A18" s="2">
        <v>2023</v>
      </c>
      <c r="B18" s="2" t="s">
        <v>38</v>
      </c>
      <c r="C18" s="28" t="s">
        <v>10</v>
      </c>
      <c r="D18" s="28" t="s">
        <v>73</v>
      </c>
      <c r="E18" s="2">
        <v>174.9</v>
      </c>
      <c r="F18" s="2">
        <v>176.9</v>
      </c>
      <c r="G18" s="2">
        <v>175.6</v>
      </c>
      <c r="L18" s="36" t="s">
        <v>74</v>
      </c>
      <c r="M18" t="s">
        <v>76</v>
      </c>
    </row>
    <row r="19" spans="1:13" ht="15.75" x14ac:dyDescent="0.25">
      <c r="A19" s="2">
        <v>2023</v>
      </c>
      <c r="B19" s="2" t="s">
        <v>38</v>
      </c>
      <c r="C19" s="28" t="s">
        <v>11</v>
      </c>
      <c r="D19" s="28" t="s">
        <v>73</v>
      </c>
      <c r="E19" s="2">
        <v>121.9</v>
      </c>
      <c r="F19" s="2">
        <v>124.2</v>
      </c>
      <c r="G19" s="2">
        <v>122.7</v>
      </c>
      <c r="L19" s="37" t="s">
        <v>17</v>
      </c>
      <c r="M19" s="38">
        <v>0.12667822530452563</v>
      </c>
    </row>
    <row r="20" spans="1:13" ht="15.75" x14ac:dyDescent="0.25">
      <c r="A20" s="2">
        <v>2023</v>
      </c>
      <c r="B20" s="2" t="s">
        <v>38</v>
      </c>
      <c r="C20" s="28" t="s">
        <v>12</v>
      </c>
      <c r="D20" s="28" t="s">
        <v>73</v>
      </c>
      <c r="E20" s="2">
        <v>221</v>
      </c>
      <c r="F20" s="2">
        <v>211.9</v>
      </c>
      <c r="G20" s="2">
        <v>218</v>
      </c>
      <c r="L20" s="37" t="s">
        <v>26</v>
      </c>
      <c r="M20" s="38">
        <v>4.0077353961056272E-2</v>
      </c>
    </row>
    <row r="21" spans="1:13" ht="15.75" x14ac:dyDescent="0.25">
      <c r="A21" s="2">
        <v>2023</v>
      </c>
      <c r="B21" s="2" t="s">
        <v>38</v>
      </c>
      <c r="C21" s="28" t="s">
        <v>13</v>
      </c>
      <c r="D21" s="28" t="s">
        <v>73</v>
      </c>
      <c r="E21" s="2">
        <v>178.7</v>
      </c>
      <c r="F21" s="2">
        <v>165.9</v>
      </c>
      <c r="G21" s="2">
        <v>173.4</v>
      </c>
      <c r="L21" s="37" t="s">
        <v>73</v>
      </c>
      <c r="M21" s="38">
        <v>0.50918022583800115</v>
      </c>
    </row>
    <row r="22" spans="1:13" ht="15.75" x14ac:dyDescent="0.25">
      <c r="A22" s="2">
        <v>2023</v>
      </c>
      <c r="B22" s="2" t="s">
        <v>38</v>
      </c>
      <c r="C22" s="28" t="s">
        <v>14</v>
      </c>
      <c r="D22" s="28" t="s">
        <v>73</v>
      </c>
      <c r="E22" s="2">
        <v>191.1</v>
      </c>
      <c r="F22" s="2">
        <v>197.7</v>
      </c>
      <c r="G22" s="2">
        <v>194.2</v>
      </c>
      <c r="L22" s="37" t="s">
        <v>21</v>
      </c>
      <c r="M22" s="38">
        <v>4.0566373255090236E-2</v>
      </c>
    </row>
    <row r="23" spans="1:13" ht="15.75" x14ac:dyDescent="0.25">
      <c r="A23" s="2">
        <v>2023</v>
      </c>
      <c r="B23" s="2" t="s">
        <v>38</v>
      </c>
      <c r="C23" s="28" t="s">
        <v>15</v>
      </c>
      <c r="D23" s="28" t="s">
        <v>73</v>
      </c>
      <c r="E23" s="2">
        <v>176.8</v>
      </c>
      <c r="F23" s="2">
        <v>183.1</v>
      </c>
      <c r="G23" s="2">
        <v>179.1</v>
      </c>
      <c r="L23" s="37" t="s">
        <v>23</v>
      </c>
      <c r="M23" s="38">
        <v>4.174446519071752E-2</v>
      </c>
    </row>
    <row r="24" spans="1:13" ht="15.75" x14ac:dyDescent="0.25">
      <c r="A24" s="2">
        <v>2023</v>
      </c>
      <c r="B24" s="2" t="s">
        <v>38</v>
      </c>
      <c r="C24" s="28" t="s">
        <v>16</v>
      </c>
      <c r="D24" s="28" t="s">
        <v>72</v>
      </c>
      <c r="E24" s="2">
        <v>199.9</v>
      </c>
      <c r="F24" s="2">
        <v>204.2</v>
      </c>
      <c r="G24" s="2">
        <v>201</v>
      </c>
      <c r="L24" s="37" t="s">
        <v>22</v>
      </c>
      <c r="M24" s="38">
        <v>3.9966213212412192E-2</v>
      </c>
    </row>
    <row r="25" spans="1:13" ht="15.75" x14ac:dyDescent="0.25">
      <c r="A25" s="2">
        <v>2023</v>
      </c>
      <c r="B25" s="2" t="s">
        <v>38</v>
      </c>
      <c r="C25" s="28" t="s">
        <v>17</v>
      </c>
      <c r="D25" s="28" t="s">
        <v>17</v>
      </c>
      <c r="E25" s="2">
        <v>191.2</v>
      </c>
      <c r="F25" s="2">
        <v>181.3</v>
      </c>
      <c r="G25" s="2">
        <v>187.3</v>
      </c>
      <c r="L25" s="37" t="s">
        <v>20</v>
      </c>
      <c r="M25" s="38">
        <v>0</v>
      </c>
    </row>
    <row r="26" spans="1:13" ht="15.75" x14ac:dyDescent="0.25">
      <c r="A26" s="2">
        <v>2023</v>
      </c>
      <c r="B26" s="2" t="s">
        <v>38</v>
      </c>
      <c r="C26" s="28" t="s">
        <v>18</v>
      </c>
      <c r="D26" s="28" t="s">
        <v>17</v>
      </c>
      <c r="E26" s="2">
        <v>187.9</v>
      </c>
      <c r="F26" s="2">
        <v>168.1</v>
      </c>
      <c r="G26" s="2">
        <v>179.7</v>
      </c>
      <c r="L26" s="37" t="s">
        <v>72</v>
      </c>
      <c r="M26" s="38">
        <v>4.4434071307904319E-2</v>
      </c>
    </row>
    <row r="27" spans="1:13" ht="15.75" x14ac:dyDescent="0.25">
      <c r="A27" s="2">
        <v>2023</v>
      </c>
      <c r="B27" s="2" t="s">
        <v>38</v>
      </c>
      <c r="C27" s="28" t="s">
        <v>19</v>
      </c>
      <c r="D27" s="28" t="s">
        <v>17</v>
      </c>
      <c r="E27" s="2">
        <v>190.8</v>
      </c>
      <c r="F27" s="2">
        <v>179.3</v>
      </c>
      <c r="G27" s="2">
        <v>186.2</v>
      </c>
      <c r="L27" s="37" t="s">
        <v>28</v>
      </c>
      <c r="M27" s="38">
        <v>3.9899528763225736E-2</v>
      </c>
    </row>
    <row r="28" spans="1:13" ht="15.75" x14ac:dyDescent="0.25">
      <c r="A28" s="2">
        <v>2023</v>
      </c>
      <c r="B28" s="2" t="s">
        <v>38</v>
      </c>
      <c r="C28" s="28" t="s">
        <v>20</v>
      </c>
      <c r="D28" s="28" t="s">
        <v>20</v>
      </c>
      <c r="E28" s="2" t="s">
        <v>48</v>
      </c>
      <c r="F28" s="2">
        <v>175.6</v>
      </c>
      <c r="G28" s="2">
        <v>175.6</v>
      </c>
      <c r="L28" s="37" t="s">
        <v>27</v>
      </c>
      <c r="M28" s="38">
        <v>4.1099848848581838E-2</v>
      </c>
    </row>
    <row r="29" spans="1:13" ht="15.75" x14ac:dyDescent="0.25">
      <c r="A29" s="2">
        <v>2023</v>
      </c>
      <c r="B29" s="2" t="s">
        <v>38</v>
      </c>
      <c r="C29" s="28" t="s">
        <v>21</v>
      </c>
      <c r="D29" s="28" t="s">
        <v>21</v>
      </c>
      <c r="E29" s="2">
        <v>182.5</v>
      </c>
      <c r="F29" s="2">
        <v>183.4</v>
      </c>
      <c r="G29" s="2">
        <v>182.8</v>
      </c>
      <c r="L29" s="37" t="s">
        <v>25</v>
      </c>
      <c r="M29" s="38">
        <v>3.8632524228683199E-2</v>
      </c>
    </row>
    <row r="30" spans="1:13" ht="15.75" x14ac:dyDescent="0.25">
      <c r="A30" s="2">
        <v>2023</v>
      </c>
      <c r="B30" s="2" t="s">
        <v>38</v>
      </c>
      <c r="C30" s="28" t="s">
        <v>22</v>
      </c>
      <c r="D30" s="28" t="s">
        <v>22</v>
      </c>
      <c r="E30" s="2">
        <v>179.8</v>
      </c>
      <c r="F30" s="2">
        <v>170.1</v>
      </c>
      <c r="G30" s="2">
        <v>175.2</v>
      </c>
      <c r="L30" s="37" t="s">
        <v>24</v>
      </c>
      <c r="M30" s="38">
        <v>3.7721170089801713E-2</v>
      </c>
    </row>
    <row r="31" spans="1:13" ht="15.75" x14ac:dyDescent="0.25">
      <c r="A31" s="2">
        <v>2023</v>
      </c>
      <c r="B31" s="2" t="s">
        <v>38</v>
      </c>
      <c r="C31" s="28" t="s">
        <v>23</v>
      </c>
      <c r="D31" s="28" t="s">
        <v>23</v>
      </c>
      <c r="E31" s="2">
        <v>187.8</v>
      </c>
      <c r="F31" s="2">
        <v>182.2</v>
      </c>
      <c r="G31" s="2">
        <v>185.7</v>
      </c>
      <c r="L31" s="37" t="s">
        <v>75</v>
      </c>
      <c r="M31" s="38">
        <v>1</v>
      </c>
    </row>
    <row r="32" spans="1:13" ht="15.75" x14ac:dyDescent="0.25">
      <c r="A32" s="2">
        <v>2023</v>
      </c>
      <c r="B32" s="2" t="s">
        <v>38</v>
      </c>
      <c r="C32" s="28" t="s">
        <v>24</v>
      </c>
      <c r="D32" s="28" t="s">
        <v>24</v>
      </c>
      <c r="E32" s="2">
        <v>169.7</v>
      </c>
      <c r="F32" s="2">
        <v>160.4</v>
      </c>
      <c r="G32" s="2">
        <v>164.8</v>
      </c>
    </row>
    <row r="33" spans="1:16" ht="15.75" x14ac:dyDescent="0.25">
      <c r="A33" s="2">
        <v>2023</v>
      </c>
      <c r="B33" s="2" t="s">
        <v>38</v>
      </c>
      <c r="C33" s="28" t="s">
        <v>25</v>
      </c>
      <c r="D33" s="28" t="s">
        <v>25</v>
      </c>
      <c r="E33" s="2">
        <v>173.8</v>
      </c>
      <c r="F33" s="2">
        <v>169.2</v>
      </c>
      <c r="G33" s="2">
        <v>171.2</v>
      </c>
    </row>
    <row r="34" spans="1:16" ht="15.75" x14ac:dyDescent="0.25">
      <c r="A34" s="2">
        <v>2023</v>
      </c>
      <c r="B34" s="2" t="s">
        <v>38</v>
      </c>
      <c r="C34" s="28" t="s">
        <v>26</v>
      </c>
      <c r="D34" s="28" t="s">
        <v>26</v>
      </c>
      <c r="E34" s="2">
        <v>180.3</v>
      </c>
      <c r="F34" s="2">
        <v>174.8</v>
      </c>
      <c r="G34" s="2">
        <v>177.1</v>
      </c>
    </row>
    <row r="35" spans="1:16" ht="15.75" x14ac:dyDescent="0.25">
      <c r="A35" s="2">
        <v>2023</v>
      </c>
      <c r="B35" s="2" t="s">
        <v>38</v>
      </c>
      <c r="C35" s="28" t="s">
        <v>27</v>
      </c>
      <c r="D35" s="28" t="s">
        <v>27</v>
      </c>
      <c r="E35" s="2">
        <v>184.9</v>
      </c>
      <c r="F35" s="2">
        <v>185.6</v>
      </c>
      <c r="G35" s="2">
        <v>185.2</v>
      </c>
    </row>
    <row r="36" spans="1:16" ht="15.75" x14ac:dyDescent="0.25">
      <c r="A36" s="2">
        <v>2023</v>
      </c>
      <c r="B36" s="2" t="s">
        <v>38</v>
      </c>
      <c r="C36" s="28" t="s">
        <v>28</v>
      </c>
      <c r="D36" s="28" t="s">
        <v>28</v>
      </c>
      <c r="E36" s="2">
        <v>179.5</v>
      </c>
      <c r="F36" s="2">
        <v>171.6</v>
      </c>
      <c r="G36" s="2">
        <v>175.7</v>
      </c>
      <c r="I36" s="75" t="s">
        <v>50</v>
      </c>
      <c r="J36" s="75"/>
      <c r="K36" s="75"/>
      <c r="L36" s="75"/>
      <c r="M36" s="75"/>
      <c r="N36" s="75"/>
      <c r="O36" s="75"/>
      <c r="P36" s="75"/>
    </row>
    <row r="37" spans="1:16" ht="19.5" x14ac:dyDescent="0.4">
      <c r="A37" s="24"/>
      <c r="B37" s="3"/>
      <c r="C37" s="3"/>
      <c r="D37" s="3"/>
      <c r="E37" s="3"/>
      <c r="F37" s="3"/>
      <c r="I37" s="75"/>
      <c r="J37" s="75"/>
      <c r="K37" s="75"/>
      <c r="L37" s="75"/>
      <c r="M37" s="75"/>
      <c r="N37" s="75"/>
      <c r="O37" s="75"/>
      <c r="P37" s="75"/>
    </row>
    <row r="38" spans="1:16" x14ac:dyDescent="0.25">
      <c r="A38" s="25"/>
      <c r="B38" s="25"/>
      <c r="C38" s="25"/>
      <c r="D38" s="25"/>
    </row>
    <row r="39" spans="1:16" x14ac:dyDescent="0.25">
      <c r="A39" s="25"/>
      <c r="B39" s="25"/>
      <c r="C39" s="25"/>
      <c r="D39" s="25"/>
    </row>
    <row r="40" spans="1:16" x14ac:dyDescent="0.25">
      <c r="A40" s="25"/>
      <c r="B40" s="25"/>
      <c r="C40" s="25"/>
      <c r="D40" s="25"/>
    </row>
    <row r="41" spans="1:16" x14ac:dyDescent="0.25">
      <c r="A41" t="s">
        <v>1</v>
      </c>
      <c r="B41" t="s">
        <v>2</v>
      </c>
      <c r="C41" t="s">
        <v>71</v>
      </c>
      <c r="D41" t="s">
        <v>69</v>
      </c>
      <c r="E41" t="s">
        <v>0</v>
      </c>
      <c r="F41" t="s">
        <v>49</v>
      </c>
    </row>
    <row r="42" spans="1:16" x14ac:dyDescent="0.25">
      <c r="A42">
        <v>2023</v>
      </c>
      <c r="B42" s="25" t="s">
        <v>38</v>
      </c>
      <c r="C42" s="25" t="s">
        <v>73</v>
      </c>
      <c r="D42" s="25" t="s">
        <v>3</v>
      </c>
      <c r="E42" s="25" t="s">
        <v>30</v>
      </c>
      <c r="F42">
        <v>173.2</v>
      </c>
    </row>
    <row r="43" spans="1:16" x14ac:dyDescent="0.25">
      <c r="A43">
        <v>2023</v>
      </c>
      <c r="B43" s="25" t="s">
        <v>38</v>
      </c>
      <c r="C43" s="25" t="s">
        <v>73</v>
      </c>
      <c r="D43" s="25" t="s">
        <v>3</v>
      </c>
      <c r="E43" s="25" t="s">
        <v>33</v>
      </c>
      <c r="F43">
        <v>174.7</v>
      </c>
    </row>
    <row r="44" spans="1:16" x14ac:dyDescent="0.25">
      <c r="A44">
        <v>2023</v>
      </c>
      <c r="B44" s="25" t="s">
        <v>38</v>
      </c>
      <c r="C44" s="25" t="s">
        <v>73</v>
      </c>
      <c r="D44" s="25" t="s">
        <v>3</v>
      </c>
      <c r="E44" s="25" t="s">
        <v>34</v>
      </c>
      <c r="F44">
        <v>173.7</v>
      </c>
    </row>
    <row r="45" spans="1:16" x14ac:dyDescent="0.25">
      <c r="A45">
        <v>2023</v>
      </c>
      <c r="B45" s="25" t="s">
        <v>38</v>
      </c>
      <c r="C45" s="25" t="s">
        <v>73</v>
      </c>
      <c r="D45" s="25" t="s">
        <v>4</v>
      </c>
      <c r="E45" s="25" t="s">
        <v>30</v>
      </c>
      <c r="F45">
        <v>211.5</v>
      </c>
    </row>
    <row r="46" spans="1:16" x14ac:dyDescent="0.25">
      <c r="A46">
        <v>2023</v>
      </c>
      <c r="B46" s="25" t="s">
        <v>38</v>
      </c>
      <c r="C46" s="25" t="s">
        <v>73</v>
      </c>
      <c r="D46" s="25" t="s">
        <v>4</v>
      </c>
      <c r="E46" s="25" t="s">
        <v>33</v>
      </c>
      <c r="F46">
        <v>219.4</v>
      </c>
    </row>
    <row r="47" spans="1:16" x14ac:dyDescent="0.25">
      <c r="A47">
        <v>2023</v>
      </c>
      <c r="B47" s="25" t="s">
        <v>38</v>
      </c>
      <c r="C47" s="25" t="s">
        <v>73</v>
      </c>
      <c r="D47" s="25" t="s">
        <v>4</v>
      </c>
      <c r="E47" s="25" t="s">
        <v>34</v>
      </c>
      <c r="F47">
        <v>214.3</v>
      </c>
    </row>
    <row r="48" spans="1:16" x14ac:dyDescent="0.25">
      <c r="A48">
        <v>2023</v>
      </c>
      <c r="B48" s="25" t="s">
        <v>38</v>
      </c>
      <c r="C48" s="25" t="s">
        <v>73</v>
      </c>
      <c r="D48" s="25" t="s">
        <v>5</v>
      </c>
      <c r="E48" s="25" t="s">
        <v>30</v>
      </c>
      <c r="F48">
        <v>171</v>
      </c>
    </row>
    <row r="49" spans="1:6" x14ac:dyDescent="0.25">
      <c r="A49">
        <v>2023</v>
      </c>
      <c r="B49" s="25" t="s">
        <v>38</v>
      </c>
      <c r="C49" s="25" t="s">
        <v>73</v>
      </c>
      <c r="D49" s="25" t="s">
        <v>5</v>
      </c>
      <c r="E49" s="25" t="s">
        <v>33</v>
      </c>
      <c r="F49">
        <v>176.7</v>
      </c>
    </row>
    <row r="50" spans="1:6" x14ac:dyDescent="0.25">
      <c r="A50">
        <v>2023</v>
      </c>
      <c r="B50" s="25" t="s">
        <v>38</v>
      </c>
      <c r="C50" s="25" t="s">
        <v>73</v>
      </c>
      <c r="D50" s="25" t="s">
        <v>5</v>
      </c>
      <c r="E50" s="25" t="s">
        <v>34</v>
      </c>
      <c r="F50">
        <v>173.2</v>
      </c>
    </row>
    <row r="51" spans="1:6" x14ac:dyDescent="0.25">
      <c r="A51">
        <v>2023</v>
      </c>
      <c r="B51" s="25" t="s">
        <v>38</v>
      </c>
      <c r="C51" s="25" t="s">
        <v>73</v>
      </c>
      <c r="D51" s="25" t="s">
        <v>6</v>
      </c>
      <c r="E51" s="25" t="s">
        <v>30</v>
      </c>
      <c r="F51">
        <v>179.6</v>
      </c>
    </row>
    <row r="52" spans="1:6" x14ac:dyDescent="0.25">
      <c r="A52">
        <v>2023</v>
      </c>
      <c r="B52" s="25" t="s">
        <v>38</v>
      </c>
      <c r="C52" s="25" t="s">
        <v>73</v>
      </c>
      <c r="D52" s="25" t="s">
        <v>6</v>
      </c>
      <c r="E52" s="25" t="s">
        <v>33</v>
      </c>
      <c r="F52">
        <v>179.4</v>
      </c>
    </row>
    <row r="53" spans="1:6" x14ac:dyDescent="0.25">
      <c r="A53">
        <v>2023</v>
      </c>
      <c r="B53" s="25" t="s">
        <v>38</v>
      </c>
      <c r="C53" s="25" t="s">
        <v>73</v>
      </c>
      <c r="D53" s="25" t="s">
        <v>6</v>
      </c>
      <c r="E53" s="25" t="s">
        <v>34</v>
      </c>
      <c r="F53">
        <v>179.5</v>
      </c>
    </row>
    <row r="54" spans="1:6" x14ac:dyDescent="0.25">
      <c r="A54">
        <v>2023</v>
      </c>
      <c r="B54" s="25" t="s">
        <v>38</v>
      </c>
      <c r="C54" s="25" t="s">
        <v>73</v>
      </c>
      <c r="D54" s="25" t="s">
        <v>7</v>
      </c>
      <c r="E54" s="25" t="s">
        <v>30</v>
      </c>
      <c r="F54">
        <v>173.3</v>
      </c>
    </row>
    <row r="55" spans="1:6" x14ac:dyDescent="0.25">
      <c r="A55">
        <v>2023</v>
      </c>
      <c r="B55" s="25" t="s">
        <v>38</v>
      </c>
      <c r="C55" s="25" t="s">
        <v>73</v>
      </c>
      <c r="D55" s="25" t="s">
        <v>7</v>
      </c>
      <c r="E55" s="25" t="s">
        <v>33</v>
      </c>
      <c r="F55">
        <v>164.4</v>
      </c>
    </row>
    <row r="56" spans="1:6" x14ac:dyDescent="0.25">
      <c r="A56">
        <v>2023</v>
      </c>
      <c r="B56" s="25" t="s">
        <v>38</v>
      </c>
      <c r="C56" s="25" t="s">
        <v>73</v>
      </c>
      <c r="D56" s="25" t="s">
        <v>7</v>
      </c>
      <c r="E56" s="25" t="s">
        <v>34</v>
      </c>
      <c r="F56">
        <v>170</v>
      </c>
    </row>
    <row r="57" spans="1:6" x14ac:dyDescent="0.25">
      <c r="A57">
        <v>2023</v>
      </c>
      <c r="B57" s="25" t="s">
        <v>38</v>
      </c>
      <c r="C57" s="25" t="s">
        <v>73</v>
      </c>
      <c r="D57" s="25" t="s">
        <v>8</v>
      </c>
      <c r="E57" s="25" t="s">
        <v>30</v>
      </c>
      <c r="F57">
        <v>169</v>
      </c>
    </row>
    <row r="58" spans="1:6" x14ac:dyDescent="0.25">
      <c r="A58">
        <v>2023</v>
      </c>
      <c r="B58" s="25" t="s">
        <v>38</v>
      </c>
      <c r="C58" s="25" t="s">
        <v>73</v>
      </c>
      <c r="D58" s="25" t="s">
        <v>8</v>
      </c>
      <c r="E58" s="25" t="s">
        <v>33</v>
      </c>
      <c r="F58">
        <v>175.8</v>
      </c>
    </row>
    <row r="59" spans="1:6" x14ac:dyDescent="0.25">
      <c r="A59">
        <v>2023</v>
      </c>
      <c r="B59" s="25" t="s">
        <v>38</v>
      </c>
      <c r="C59" s="25" t="s">
        <v>73</v>
      </c>
      <c r="D59" s="25" t="s">
        <v>8</v>
      </c>
      <c r="E59" s="25" t="s">
        <v>34</v>
      </c>
      <c r="F59">
        <v>172.2</v>
      </c>
    </row>
    <row r="60" spans="1:6" x14ac:dyDescent="0.25">
      <c r="A60">
        <v>2023</v>
      </c>
      <c r="B60" s="25" t="s">
        <v>38</v>
      </c>
      <c r="C60" s="25" t="s">
        <v>73</v>
      </c>
      <c r="D60" s="25" t="s">
        <v>9</v>
      </c>
      <c r="E60" s="25" t="s">
        <v>30</v>
      </c>
      <c r="F60">
        <v>148.69999999999999</v>
      </c>
    </row>
    <row r="61" spans="1:6" x14ac:dyDescent="0.25">
      <c r="A61">
        <v>2023</v>
      </c>
      <c r="B61" s="25" t="s">
        <v>38</v>
      </c>
      <c r="C61" s="25" t="s">
        <v>73</v>
      </c>
      <c r="D61" s="25" t="s">
        <v>9</v>
      </c>
      <c r="E61" s="25" t="s">
        <v>33</v>
      </c>
      <c r="F61">
        <v>185</v>
      </c>
    </row>
    <row r="62" spans="1:6" x14ac:dyDescent="0.25">
      <c r="A62">
        <v>2023</v>
      </c>
      <c r="B62" s="25" t="s">
        <v>38</v>
      </c>
      <c r="C62" s="25" t="s">
        <v>73</v>
      </c>
      <c r="D62" s="25" t="s">
        <v>9</v>
      </c>
      <c r="E62" s="25" t="s">
        <v>34</v>
      </c>
      <c r="F62">
        <v>161</v>
      </c>
    </row>
    <row r="63" spans="1:6" x14ac:dyDescent="0.25">
      <c r="A63">
        <v>2023</v>
      </c>
      <c r="B63" s="25" t="s">
        <v>38</v>
      </c>
      <c r="C63" s="25" t="s">
        <v>73</v>
      </c>
      <c r="D63" s="25" t="s">
        <v>10</v>
      </c>
      <c r="E63" s="25" t="s">
        <v>30</v>
      </c>
      <c r="F63">
        <v>174.9</v>
      </c>
    </row>
    <row r="64" spans="1:6" x14ac:dyDescent="0.25">
      <c r="A64">
        <v>2023</v>
      </c>
      <c r="B64" s="25" t="s">
        <v>38</v>
      </c>
      <c r="C64" s="25" t="s">
        <v>73</v>
      </c>
      <c r="D64" s="25" t="s">
        <v>10</v>
      </c>
      <c r="E64" s="25" t="s">
        <v>33</v>
      </c>
      <c r="F64">
        <v>176.9</v>
      </c>
    </row>
    <row r="65" spans="1:14" x14ac:dyDescent="0.25">
      <c r="A65">
        <v>2023</v>
      </c>
      <c r="B65" s="25" t="s">
        <v>38</v>
      </c>
      <c r="C65" s="25" t="s">
        <v>73</v>
      </c>
      <c r="D65" s="25" t="s">
        <v>10</v>
      </c>
      <c r="E65" s="25" t="s">
        <v>34</v>
      </c>
      <c r="F65">
        <v>175.6</v>
      </c>
    </row>
    <row r="66" spans="1:14" x14ac:dyDescent="0.25">
      <c r="A66">
        <v>2023</v>
      </c>
      <c r="B66" s="25" t="s">
        <v>38</v>
      </c>
      <c r="C66" s="25" t="s">
        <v>73</v>
      </c>
      <c r="D66" s="25" t="s">
        <v>11</v>
      </c>
      <c r="E66" s="25" t="s">
        <v>30</v>
      </c>
      <c r="F66">
        <v>121.9</v>
      </c>
    </row>
    <row r="67" spans="1:14" x14ac:dyDescent="0.25">
      <c r="A67">
        <v>2023</v>
      </c>
      <c r="B67" s="25" t="s">
        <v>38</v>
      </c>
      <c r="C67" s="25" t="s">
        <v>73</v>
      </c>
      <c r="D67" s="25" t="s">
        <v>11</v>
      </c>
      <c r="E67" s="25" t="s">
        <v>33</v>
      </c>
      <c r="F67">
        <v>124.2</v>
      </c>
    </row>
    <row r="68" spans="1:14" x14ac:dyDescent="0.25">
      <c r="A68">
        <v>2023</v>
      </c>
      <c r="B68" s="25" t="s">
        <v>38</v>
      </c>
      <c r="C68" s="25" t="s">
        <v>73</v>
      </c>
      <c r="D68" s="25" t="s">
        <v>11</v>
      </c>
      <c r="E68" s="25" t="s">
        <v>34</v>
      </c>
      <c r="F68">
        <v>122.7</v>
      </c>
    </row>
    <row r="69" spans="1:14" x14ac:dyDescent="0.25">
      <c r="A69">
        <v>2023</v>
      </c>
      <c r="B69" s="25" t="s">
        <v>38</v>
      </c>
      <c r="C69" s="25" t="s">
        <v>73</v>
      </c>
      <c r="D69" s="25" t="s">
        <v>12</v>
      </c>
      <c r="E69" s="25" t="s">
        <v>30</v>
      </c>
      <c r="F69">
        <v>221</v>
      </c>
    </row>
    <row r="70" spans="1:14" x14ac:dyDescent="0.25">
      <c r="A70">
        <v>2023</v>
      </c>
      <c r="B70" s="25" t="s">
        <v>38</v>
      </c>
      <c r="C70" s="25" t="s">
        <v>73</v>
      </c>
      <c r="D70" s="25" t="s">
        <v>12</v>
      </c>
      <c r="E70" s="25" t="s">
        <v>33</v>
      </c>
      <c r="F70">
        <v>211.9</v>
      </c>
    </row>
    <row r="71" spans="1:14" x14ac:dyDescent="0.25">
      <c r="A71">
        <v>2023</v>
      </c>
      <c r="B71" s="25" t="s">
        <v>38</v>
      </c>
      <c r="C71" s="25" t="s">
        <v>73</v>
      </c>
      <c r="D71" s="25" t="s">
        <v>12</v>
      </c>
      <c r="E71" s="25" t="s">
        <v>34</v>
      </c>
      <c r="F71">
        <v>218</v>
      </c>
    </row>
    <row r="72" spans="1:14" x14ac:dyDescent="0.25">
      <c r="A72">
        <v>2023</v>
      </c>
      <c r="B72" s="25" t="s">
        <v>38</v>
      </c>
      <c r="C72" s="25" t="s">
        <v>73</v>
      </c>
      <c r="D72" s="25" t="s">
        <v>13</v>
      </c>
      <c r="E72" s="25" t="s">
        <v>30</v>
      </c>
      <c r="F72">
        <v>178.7</v>
      </c>
    </row>
    <row r="73" spans="1:14" x14ac:dyDescent="0.25">
      <c r="A73">
        <v>2023</v>
      </c>
      <c r="B73" s="25" t="s">
        <v>38</v>
      </c>
      <c r="C73" s="25" t="s">
        <v>73</v>
      </c>
      <c r="D73" s="25" t="s">
        <v>13</v>
      </c>
      <c r="E73" s="25" t="s">
        <v>33</v>
      </c>
      <c r="F73">
        <v>165.9</v>
      </c>
    </row>
    <row r="74" spans="1:14" x14ac:dyDescent="0.25">
      <c r="A74">
        <v>2023</v>
      </c>
      <c r="B74" s="25" t="s">
        <v>38</v>
      </c>
      <c r="C74" s="25" t="s">
        <v>73</v>
      </c>
      <c r="D74" s="25" t="s">
        <v>13</v>
      </c>
      <c r="E74" s="25" t="s">
        <v>34</v>
      </c>
      <c r="F74">
        <v>173.4</v>
      </c>
    </row>
    <row r="75" spans="1:14" x14ac:dyDescent="0.25">
      <c r="A75">
        <v>2023</v>
      </c>
      <c r="B75" s="25" t="s">
        <v>38</v>
      </c>
      <c r="C75" s="25" t="s">
        <v>73</v>
      </c>
      <c r="D75" s="25" t="s">
        <v>14</v>
      </c>
      <c r="E75" s="25" t="s">
        <v>30</v>
      </c>
      <c r="F75">
        <v>191.1</v>
      </c>
    </row>
    <row r="76" spans="1:14" x14ac:dyDescent="0.25">
      <c r="A76">
        <v>2023</v>
      </c>
      <c r="B76" s="25" t="s">
        <v>38</v>
      </c>
      <c r="C76" s="25" t="s">
        <v>73</v>
      </c>
      <c r="D76" s="25" t="s">
        <v>14</v>
      </c>
      <c r="E76" s="25" t="s">
        <v>33</v>
      </c>
      <c r="F76">
        <v>197.7</v>
      </c>
    </row>
    <row r="77" spans="1:14" x14ac:dyDescent="0.25">
      <c r="A77">
        <v>2023</v>
      </c>
      <c r="B77" s="25" t="s">
        <v>38</v>
      </c>
      <c r="C77" s="25" t="s">
        <v>73</v>
      </c>
      <c r="D77" s="25" t="s">
        <v>14</v>
      </c>
      <c r="E77" s="25" t="s">
        <v>34</v>
      </c>
      <c r="F77">
        <v>194.2</v>
      </c>
    </row>
    <row r="78" spans="1:14" x14ac:dyDescent="0.25">
      <c r="A78">
        <v>2023</v>
      </c>
      <c r="B78" s="25" t="s">
        <v>38</v>
      </c>
      <c r="C78" s="25" t="s">
        <v>73</v>
      </c>
      <c r="D78" s="25" t="s">
        <v>15</v>
      </c>
      <c r="E78" s="25" t="s">
        <v>30</v>
      </c>
      <c r="F78">
        <v>176.8</v>
      </c>
    </row>
    <row r="79" spans="1:14" ht="15" customHeight="1" x14ac:dyDescent="0.25">
      <c r="A79">
        <v>2023</v>
      </c>
      <c r="B79" s="25" t="s">
        <v>38</v>
      </c>
      <c r="C79" s="25" t="s">
        <v>73</v>
      </c>
      <c r="D79" s="25" t="s">
        <v>15</v>
      </c>
      <c r="E79" s="25" t="s">
        <v>33</v>
      </c>
      <c r="F79">
        <v>183.1</v>
      </c>
      <c r="H79" s="3"/>
      <c r="L79" s="69" t="s">
        <v>52</v>
      </c>
      <c r="M79" s="69"/>
      <c r="N79" s="69"/>
    </row>
    <row r="80" spans="1:14" ht="15" customHeight="1" x14ac:dyDescent="0.25">
      <c r="A80">
        <v>2023</v>
      </c>
      <c r="B80" s="25" t="s">
        <v>38</v>
      </c>
      <c r="C80" s="25" t="s">
        <v>73</v>
      </c>
      <c r="D80" s="25" t="s">
        <v>15</v>
      </c>
      <c r="E80" s="25" t="s">
        <v>34</v>
      </c>
      <c r="F80">
        <v>179.1</v>
      </c>
      <c r="H80" s="3"/>
      <c r="L80" s="69"/>
      <c r="M80" s="69"/>
      <c r="N80" s="69"/>
    </row>
    <row r="81" spans="1:19" x14ac:dyDescent="0.25">
      <c r="A81">
        <v>2023</v>
      </c>
      <c r="B81" s="25" t="s">
        <v>38</v>
      </c>
      <c r="C81" s="25" t="s">
        <v>72</v>
      </c>
      <c r="D81" s="25" t="s">
        <v>16</v>
      </c>
      <c r="E81" s="25" t="s">
        <v>30</v>
      </c>
      <c r="F81">
        <v>199.9</v>
      </c>
      <c r="H81" s="68" t="s">
        <v>53</v>
      </c>
      <c r="I81" s="68"/>
      <c r="J81" s="68"/>
      <c r="K81" s="68"/>
      <c r="L81" s="68"/>
      <c r="M81" s="68"/>
      <c r="N81" s="68"/>
      <c r="O81" s="68"/>
      <c r="P81" s="68"/>
      <c r="Q81" s="68"/>
      <c r="R81" s="68"/>
      <c r="S81" s="68"/>
    </row>
    <row r="82" spans="1:19" x14ac:dyDescent="0.25">
      <c r="A82">
        <v>2023</v>
      </c>
      <c r="B82" s="25" t="s">
        <v>38</v>
      </c>
      <c r="C82" s="25" t="s">
        <v>72</v>
      </c>
      <c r="D82" s="25" t="s">
        <v>16</v>
      </c>
      <c r="E82" s="25" t="s">
        <v>33</v>
      </c>
      <c r="F82">
        <v>204.2</v>
      </c>
      <c r="H82" s="68"/>
      <c r="I82" s="68"/>
      <c r="J82" s="68"/>
      <c r="K82" s="68"/>
      <c r="L82" s="68"/>
      <c r="M82" s="68"/>
      <c r="N82" s="68"/>
      <c r="O82" s="68"/>
      <c r="P82" s="68"/>
      <c r="Q82" s="68"/>
      <c r="R82" s="68"/>
      <c r="S82" s="68"/>
    </row>
    <row r="83" spans="1:19" x14ac:dyDescent="0.25">
      <c r="A83">
        <v>2023</v>
      </c>
      <c r="B83" s="25" t="s">
        <v>38</v>
      </c>
      <c r="C83" s="25" t="s">
        <v>72</v>
      </c>
      <c r="D83" s="25" t="s">
        <v>16</v>
      </c>
      <c r="E83" s="25" t="s">
        <v>34</v>
      </c>
      <c r="F83">
        <v>201</v>
      </c>
      <c r="H83" s="68"/>
      <c r="I83" s="68"/>
      <c r="J83" s="68"/>
      <c r="K83" s="68"/>
      <c r="L83" s="68"/>
      <c r="M83" s="68"/>
      <c r="N83" s="68"/>
      <c r="O83" s="68"/>
      <c r="P83" s="68"/>
      <c r="Q83" s="68"/>
      <c r="R83" s="68"/>
      <c r="S83" s="68"/>
    </row>
    <row r="84" spans="1:19" x14ac:dyDescent="0.25">
      <c r="A84">
        <v>2023</v>
      </c>
      <c r="B84" s="25" t="s">
        <v>38</v>
      </c>
      <c r="C84" s="25" t="s">
        <v>17</v>
      </c>
      <c r="D84" s="25" t="s">
        <v>17</v>
      </c>
      <c r="E84" s="25" t="s">
        <v>30</v>
      </c>
      <c r="F84">
        <v>191.2</v>
      </c>
      <c r="H84" s="68"/>
      <c r="I84" s="68"/>
      <c r="J84" s="68"/>
      <c r="K84" s="68"/>
      <c r="L84" s="68"/>
      <c r="M84" s="68"/>
      <c r="N84" s="68"/>
      <c r="O84" s="68"/>
      <c r="P84" s="68"/>
      <c r="Q84" s="68"/>
      <c r="R84" s="68"/>
      <c r="S84" s="68"/>
    </row>
    <row r="85" spans="1:19" x14ac:dyDescent="0.25">
      <c r="A85">
        <v>2023</v>
      </c>
      <c r="B85" s="25" t="s">
        <v>38</v>
      </c>
      <c r="C85" s="25" t="s">
        <v>17</v>
      </c>
      <c r="D85" s="25" t="s">
        <v>17</v>
      </c>
      <c r="E85" s="25" t="s">
        <v>33</v>
      </c>
      <c r="F85">
        <v>181.3</v>
      </c>
      <c r="H85" s="68"/>
      <c r="I85" s="68"/>
      <c r="J85" s="68"/>
      <c r="K85" s="68"/>
      <c r="L85" s="68"/>
      <c r="M85" s="68"/>
      <c r="N85" s="68"/>
      <c r="O85" s="68"/>
      <c r="P85" s="68"/>
      <c r="Q85" s="68"/>
      <c r="R85" s="68"/>
      <c r="S85" s="68"/>
    </row>
    <row r="86" spans="1:19" x14ac:dyDescent="0.25">
      <c r="A86">
        <v>2023</v>
      </c>
      <c r="B86" s="25" t="s">
        <v>38</v>
      </c>
      <c r="C86" s="25" t="s">
        <v>17</v>
      </c>
      <c r="D86" s="25" t="s">
        <v>17</v>
      </c>
      <c r="E86" s="25" t="s">
        <v>34</v>
      </c>
      <c r="F86">
        <v>187.3</v>
      </c>
      <c r="H86" s="68"/>
      <c r="I86" s="68"/>
      <c r="J86" s="68"/>
      <c r="K86" s="68"/>
      <c r="L86" s="68"/>
      <c r="M86" s="68"/>
      <c r="N86" s="68"/>
      <c r="O86" s="68"/>
      <c r="P86" s="68"/>
      <c r="Q86" s="68"/>
      <c r="R86" s="68"/>
      <c r="S86" s="68"/>
    </row>
    <row r="87" spans="1:19" x14ac:dyDescent="0.25">
      <c r="A87">
        <v>2023</v>
      </c>
      <c r="B87" s="25" t="s">
        <v>38</v>
      </c>
      <c r="C87" s="25" t="s">
        <v>17</v>
      </c>
      <c r="D87" s="25" t="s">
        <v>18</v>
      </c>
      <c r="E87" s="25" t="s">
        <v>30</v>
      </c>
      <c r="F87">
        <v>187.9</v>
      </c>
      <c r="H87" s="68"/>
      <c r="I87" s="68"/>
      <c r="J87" s="68"/>
      <c r="K87" s="68"/>
      <c r="L87" s="68"/>
      <c r="M87" s="68"/>
      <c r="N87" s="68"/>
      <c r="O87" s="68"/>
      <c r="P87" s="68"/>
      <c r="Q87" s="68"/>
      <c r="R87" s="68"/>
      <c r="S87" s="68"/>
    </row>
    <row r="88" spans="1:19" x14ac:dyDescent="0.25">
      <c r="A88">
        <v>2023</v>
      </c>
      <c r="B88" s="25" t="s">
        <v>38</v>
      </c>
      <c r="C88" s="25" t="s">
        <v>17</v>
      </c>
      <c r="D88" s="25" t="s">
        <v>18</v>
      </c>
      <c r="E88" s="25" t="s">
        <v>33</v>
      </c>
      <c r="F88">
        <v>168.1</v>
      </c>
    </row>
    <row r="89" spans="1:19" x14ac:dyDescent="0.25">
      <c r="A89">
        <v>2023</v>
      </c>
      <c r="B89" s="25" t="s">
        <v>38</v>
      </c>
      <c r="C89" s="25" t="s">
        <v>17</v>
      </c>
      <c r="D89" s="25" t="s">
        <v>18</v>
      </c>
      <c r="E89" s="25" t="s">
        <v>34</v>
      </c>
      <c r="F89">
        <v>179.7</v>
      </c>
    </row>
    <row r="90" spans="1:19" x14ac:dyDescent="0.25">
      <c r="A90">
        <v>2023</v>
      </c>
      <c r="B90" s="25" t="s">
        <v>38</v>
      </c>
      <c r="C90" s="25" t="s">
        <v>17</v>
      </c>
      <c r="D90" s="25" t="s">
        <v>19</v>
      </c>
      <c r="E90" s="25" t="s">
        <v>30</v>
      </c>
      <c r="F90">
        <v>190.8</v>
      </c>
    </row>
    <row r="91" spans="1:19" x14ac:dyDescent="0.25">
      <c r="A91">
        <v>2023</v>
      </c>
      <c r="B91" s="25" t="s">
        <v>38</v>
      </c>
      <c r="C91" s="25" t="s">
        <v>17</v>
      </c>
      <c r="D91" s="25" t="s">
        <v>19</v>
      </c>
      <c r="E91" s="25" t="s">
        <v>33</v>
      </c>
      <c r="F91">
        <v>179.3</v>
      </c>
    </row>
    <row r="92" spans="1:19" x14ac:dyDescent="0.25">
      <c r="A92">
        <v>2023</v>
      </c>
      <c r="B92" s="25" t="s">
        <v>38</v>
      </c>
      <c r="C92" s="25" t="s">
        <v>17</v>
      </c>
      <c r="D92" s="25" t="s">
        <v>19</v>
      </c>
      <c r="E92" s="25" t="s">
        <v>34</v>
      </c>
      <c r="F92">
        <v>186.2</v>
      </c>
    </row>
    <row r="93" spans="1:19" x14ac:dyDescent="0.25">
      <c r="A93">
        <v>2023</v>
      </c>
      <c r="B93" s="25" t="s">
        <v>38</v>
      </c>
      <c r="C93" s="25" t="s">
        <v>20</v>
      </c>
      <c r="D93" s="25" t="s">
        <v>20</v>
      </c>
      <c r="E93" s="25" t="s">
        <v>30</v>
      </c>
      <c r="F93" t="s">
        <v>48</v>
      </c>
    </row>
    <row r="94" spans="1:19" x14ac:dyDescent="0.25">
      <c r="A94">
        <v>2023</v>
      </c>
      <c r="B94" s="25" t="s">
        <v>38</v>
      </c>
      <c r="C94" s="25" t="s">
        <v>20</v>
      </c>
      <c r="D94" s="25" t="s">
        <v>20</v>
      </c>
      <c r="E94" s="25" t="s">
        <v>33</v>
      </c>
      <c r="F94">
        <v>175.6</v>
      </c>
    </row>
    <row r="95" spans="1:19" x14ac:dyDescent="0.25">
      <c r="A95">
        <v>2023</v>
      </c>
      <c r="B95" s="25" t="s">
        <v>38</v>
      </c>
      <c r="C95" s="25" t="s">
        <v>20</v>
      </c>
      <c r="D95" s="25" t="s">
        <v>20</v>
      </c>
      <c r="E95" s="25" t="s">
        <v>34</v>
      </c>
      <c r="F95">
        <v>175.6</v>
      </c>
    </row>
    <row r="96" spans="1:19" x14ac:dyDescent="0.25">
      <c r="A96">
        <v>2023</v>
      </c>
      <c r="B96" s="25" t="s">
        <v>38</v>
      </c>
      <c r="C96" s="25" t="s">
        <v>21</v>
      </c>
      <c r="D96" s="25" t="s">
        <v>21</v>
      </c>
      <c r="E96" s="25" t="s">
        <v>30</v>
      </c>
      <c r="F96">
        <v>182.5</v>
      </c>
    </row>
    <row r="97" spans="1:6" x14ac:dyDescent="0.25">
      <c r="A97">
        <v>2023</v>
      </c>
      <c r="B97" s="25" t="s">
        <v>38</v>
      </c>
      <c r="C97" s="25" t="s">
        <v>21</v>
      </c>
      <c r="D97" s="25" t="s">
        <v>21</v>
      </c>
      <c r="E97" s="25" t="s">
        <v>33</v>
      </c>
      <c r="F97">
        <v>183.4</v>
      </c>
    </row>
    <row r="98" spans="1:6" x14ac:dyDescent="0.25">
      <c r="A98">
        <v>2023</v>
      </c>
      <c r="B98" s="25" t="s">
        <v>38</v>
      </c>
      <c r="C98" s="25" t="s">
        <v>21</v>
      </c>
      <c r="D98" s="25" t="s">
        <v>21</v>
      </c>
      <c r="E98" s="25" t="s">
        <v>34</v>
      </c>
      <c r="F98">
        <v>182.8</v>
      </c>
    </row>
    <row r="99" spans="1:6" x14ac:dyDescent="0.25">
      <c r="A99">
        <v>2023</v>
      </c>
      <c r="B99" s="25" t="s">
        <v>38</v>
      </c>
      <c r="C99" s="25" t="s">
        <v>22</v>
      </c>
      <c r="D99" s="25" t="s">
        <v>22</v>
      </c>
      <c r="E99" s="25" t="s">
        <v>30</v>
      </c>
      <c r="F99">
        <v>179.8</v>
      </c>
    </row>
    <row r="100" spans="1:6" x14ac:dyDescent="0.25">
      <c r="A100">
        <v>2023</v>
      </c>
      <c r="B100" s="25" t="s">
        <v>38</v>
      </c>
      <c r="C100" s="25" t="s">
        <v>22</v>
      </c>
      <c r="D100" s="25" t="s">
        <v>22</v>
      </c>
      <c r="E100" s="25" t="s">
        <v>33</v>
      </c>
      <c r="F100">
        <v>170.1</v>
      </c>
    </row>
    <row r="101" spans="1:6" x14ac:dyDescent="0.25">
      <c r="A101">
        <v>2023</v>
      </c>
      <c r="B101" s="25" t="s">
        <v>38</v>
      </c>
      <c r="C101" s="25" t="s">
        <v>22</v>
      </c>
      <c r="D101" s="25" t="s">
        <v>22</v>
      </c>
      <c r="E101" s="25" t="s">
        <v>34</v>
      </c>
      <c r="F101">
        <v>175.2</v>
      </c>
    </row>
    <row r="102" spans="1:6" x14ac:dyDescent="0.25">
      <c r="A102">
        <v>2023</v>
      </c>
      <c r="B102" s="25" t="s">
        <v>38</v>
      </c>
      <c r="C102" s="25" t="s">
        <v>23</v>
      </c>
      <c r="D102" s="25" t="s">
        <v>23</v>
      </c>
      <c r="E102" s="25" t="s">
        <v>30</v>
      </c>
      <c r="F102">
        <v>187.8</v>
      </c>
    </row>
    <row r="103" spans="1:6" x14ac:dyDescent="0.25">
      <c r="A103">
        <v>2023</v>
      </c>
      <c r="B103" s="25" t="s">
        <v>38</v>
      </c>
      <c r="C103" s="25" t="s">
        <v>23</v>
      </c>
      <c r="D103" s="25" t="s">
        <v>23</v>
      </c>
      <c r="E103" s="25" t="s">
        <v>33</v>
      </c>
      <c r="F103">
        <v>182.2</v>
      </c>
    </row>
    <row r="104" spans="1:6" x14ac:dyDescent="0.25">
      <c r="A104">
        <v>2023</v>
      </c>
      <c r="B104" s="25" t="s">
        <v>38</v>
      </c>
      <c r="C104" s="25" t="s">
        <v>23</v>
      </c>
      <c r="D104" s="25" t="s">
        <v>23</v>
      </c>
      <c r="E104" s="25" t="s">
        <v>34</v>
      </c>
      <c r="F104">
        <v>185.7</v>
      </c>
    </row>
    <row r="105" spans="1:6" x14ac:dyDescent="0.25">
      <c r="A105">
        <v>2023</v>
      </c>
      <c r="B105" s="25" t="s">
        <v>38</v>
      </c>
      <c r="C105" s="25" t="s">
        <v>24</v>
      </c>
      <c r="D105" s="25" t="s">
        <v>24</v>
      </c>
      <c r="E105" s="25" t="s">
        <v>30</v>
      </c>
      <c r="F105">
        <v>169.7</v>
      </c>
    </row>
    <row r="106" spans="1:6" x14ac:dyDescent="0.25">
      <c r="A106">
        <v>2023</v>
      </c>
      <c r="B106" s="25" t="s">
        <v>38</v>
      </c>
      <c r="C106" s="25" t="s">
        <v>24</v>
      </c>
      <c r="D106" s="25" t="s">
        <v>24</v>
      </c>
      <c r="E106" s="25" t="s">
        <v>33</v>
      </c>
      <c r="F106">
        <v>160.4</v>
      </c>
    </row>
    <row r="107" spans="1:6" x14ac:dyDescent="0.25">
      <c r="A107">
        <v>2023</v>
      </c>
      <c r="B107" s="25" t="s">
        <v>38</v>
      </c>
      <c r="C107" s="25" t="s">
        <v>24</v>
      </c>
      <c r="D107" s="25" t="s">
        <v>24</v>
      </c>
      <c r="E107" s="25" t="s">
        <v>34</v>
      </c>
      <c r="F107">
        <v>164.8</v>
      </c>
    </row>
    <row r="108" spans="1:6" x14ac:dyDescent="0.25">
      <c r="A108">
        <v>2023</v>
      </c>
      <c r="B108" s="25" t="s">
        <v>38</v>
      </c>
      <c r="C108" s="25" t="s">
        <v>25</v>
      </c>
      <c r="D108" s="25" t="s">
        <v>25</v>
      </c>
      <c r="E108" s="25" t="s">
        <v>30</v>
      </c>
      <c r="F108">
        <v>173.8</v>
      </c>
    </row>
    <row r="109" spans="1:6" x14ac:dyDescent="0.25">
      <c r="A109">
        <v>2023</v>
      </c>
      <c r="B109" s="25" t="s">
        <v>38</v>
      </c>
      <c r="C109" s="25" t="s">
        <v>25</v>
      </c>
      <c r="D109" s="25" t="s">
        <v>25</v>
      </c>
      <c r="E109" s="25" t="s">
        <v>33</v>
      </c>
      <c r="F109">
        <v>169.2</v>
      </c>
    </row>
    <row r="110" spans="1:6" x14ac:dyDescent="0.25">
      <c r="A110">
        <v>2023</v>
      </c>
      <c r="B110" s="25" t="s">
        <v>38</v>
      </c>
      <c r="C110" s="25" t="s">
        <v>25</v>
      </c>
      <c r="D110" s="25" t="s">
        <v>25</v>
      </c>
      <c r="E110" s="25" t="s">
        <v>34</v>
      </c>
      <c r="F110">
        <v>171.2</v>
      </c>
    </row>
    <row r="111" spans="1:6" x14ac:dyDescent="0.25">
      <c r="A111">
        <v>2023</v>
      </c>
      <c r="B111" s="25" t="s">
        <v>38</v>
      </c>
      <c r="C111" s="25" t="s">
        <v>26</v>
      </c>
      <c r="D111" s="25" t="s">
        <v>26</v>
      </c>
      <c r="E111" s="25" t="s">
        <v>30</v>
      </c>
      <c r="F111">
        <v>180.3</v>
      </c>
    </row>
    <row r="112" spans="1:6" x14ac:dyDescent="0.25">
      <c r="A112">
        <v>2023</v>
      </c>
      <c r="B112" s="25" t="s">
        <v>38</v>
      </c>
      <c r="C112" s="25" t="s">
        <v>26</v>
      </c>
      <c r="D112" s="25" t="s">
        <v>26</v>
      </c>
      <c r="E112" s="25" t="s">
        <v>33</v>
      </c>
      <c r="F112">
        <v>174.8</v>
      </c>
    </row>
    <row r="113" spans="1:6" x14ac:dyDescent="0.25">
      <c r="A113">
        <v>2023</v>
      </c>
      <c r="B113" s="25" t="s">
        <v>38</v>
      </c>
      <c r="C113" s="25" t="s">
        <v>26</v>
      </c>
      <c r="D113" s="25" t="s">
        <v>26</v>
      </c>
      <c r="E113" s="25" t="s">
        <v>34</v>
      </c>
      <c r="F113">
        <v>177.1</v>
      </c>
    </row>
    <row r="114" spans="1:6" x14ac:dyDescent="0.25">
      <c r="A114">
        <v>2023</v>
      </c>
      <c r="B114" s="25" t="s">
        <v>38</v>
      </c>
      <c r="C114" s="25" t="s">
        <v>27</v>
      </c>
      <c r="D114" s="25" t="s">
        <v>27</v>
      </c>
      <c r="E114" s="25" t="s">
        <v>30</v>
      </c>
      <c r="F114">
        <v>184.9</v>
      </c>
    </row>
    <row r="115" spans="1:6" x14ac:dyDescent="0.25">
      <c r="A115">
        <v>2023</v>
      </c>
      <c r="B115" s="25" t="s">
        <v>38</v>
      </c>
      <c r="C115" s="25" t="s">
        <v>27</v>
      </c>
      <c r="D115" s="25" t="s">
        <v>27</v>
      </c>
      <c r="E115" s="25" t="s">
        <v>33</v>
      </c>
      <c r="F115">
        <v>185.6</v>
      </c>
    </row>
    <row r="116" spans="1:6" x14ac:dyDescent="0.25">
      <c r="A116">
        <v>2023</v>
      </c>
      <c r="B116" s="25" t="s">
        <v>38</v>
      </c>
      <c r="C116" s="25" t="s">
        <v>27</v>
      </c>
      <c r="D116" s="25" t="s">
        <v>27</v>
      </c>
      <c r="E116" s="25" t="s">
        <v>34</v>
      </c>
      <c r="F116">
        <v>185.2</v>
      </c>
    </row>
    <row r="117" spans="1:6" x14ac:dyDescent="0.25">
      <c r="A117">
        <v>2023</v>
      </c>
      <c r="B117" s="25" t="s">
        <v>38</v>
      </c>
      <c r="C117" s="25" t="s">
        <v>28</v>
      </c>
      <c r="D117" s="25" t="s">
        <v>28</v>
      </c>
      <c r="E117" s="25" t="s">
        <v>30</v>
      </c>
      <c r="F117">
        <v>179.5</v>
      </c>
    </row>
    <row r="118" spans="1:6" x14ac:dyDescent="0.25">
      <c r="A118">
        <v>2023</v>
      </c>
      <c r="B118" s="25" t="s">
        <v>38</v>
      </c>
      <c r="C118" s="25" t="s">
        <v>28</v>
      </c>
      <c r="D118" s="25" t="s">
        <v>28</v>
      </c>
      <c r="E118" s="25" t="s">
        <v>33</v>
      </c>
      <c r="F118">
        <v>171.6</v>
      </c>
    </row>
    <row r="119" spans="1:6" x14ac:dyDescent="0.25">
      <c r="A119">
        <v>2023</v>
      </c>
      <c r="B119" s="25" t="s">
        <v>38</v>
      </c>
      <c r="C119" s="25" t="s">
        <v>28</v>
      </c>
      <c r="D119" s="25" t="s">
        <v>28</v>
      </c>
      <c r="E119" s="25" t="s">
        <v>34</v>
      </c>
      <c r="F119">
        <v>175.7</v>
      </c>
    </row>
  </sheetData>
  <mergeCells count="5">
    <mergeCell ref="H81:S87"/>
    <mergeCell ref="L79:N80"/>
    <mergeCell ref="A1:S6"/>
    <mergeCell ref="B8:C9"/>
    <mergeCell ref="I36:P37"/>
  </mergeCells>
  <phoneticPr fontId="28" type="noConversion"/>
  <pageMargins left="0.7" right="0.7" top="0.75" bottom="0.75" header="0.3" footer="0.3"/>
  <drawing r:id="rId2"/>
  <tableParts count="2">
    <tablePart r:id="rId3"/>
    <tablePart r:id="rId4"/>
  </tableParts>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51B62-41E1-47F8-95C2-560D393E75CC}">
  <dimension ref="A1:AD47"/>
  <sheetViews>
    <sheetView tabSelected="1" zoomScale="85" zoomScaleNormal="85" workbookViewId="0">
      <selection activeCell="F29" sqref="F29"/>
    </sheetView>
  </sheetViews>
  <sheetFormatPr defaultRowHeight="15" x14ac:dyDescent="0.25"/>
  <cols>
    <col min="1" max="2" width="7.140625" bestFit="1" customWidth="1"/>
    <col min="3" max="3" width="9.85546875" bestFit="1" customWidth="1"/>
    <col min="4" max="4" width="19.140625" bestFit="1" customWidth="1"/>
    <col min="5" max="5" width="17.85546875" bestFit="1" customWidth="1"/>
    <col min="6" max="6" width="19.140625" bestFit="1" customWidth="1"/>
    <col min="7" max="7" width="17.85546875" bestFit="1" customWidth="1"/>
  </cols>
  <sheetData>
    <row r="1" spans="1:30" ht="15" customHeight="1" x14ac:dyDescent="0.25">
      <c r="A1" s="76" t="s">
        <v>54</v>
      </c>
      <c r="B1" s="76"/>
      <c r="C1" s="76"/>
      <c r="D1" s="76"/>
      <c r="E1" s="76"/>
      <c r="F1" s="76"/>
      <c r="G1" s="76"/>
      <c r="H1" s="76"/>
      <c r="I1" s="76"/>
      <c r="J1" s="76"/>
      <c r="K1" s="76"/>
      <c r="L1" s="18"/>
      <c r="M1" s="18"/>
      <c r="N1" s="18"/>
      <c r="O1" s="18"/>
      <c r="P1" s="18"/>
      <c r="Q1" s="18"/>
      <c r="R1" s="18"/>
      <c r="S1" s="18"/>
      <c r="T1" s="18"/>
      <c r="U1" s="18"/>
      <c r="V1" s="18"/>
      <c r="W1" s="18"/>
      <c r="X1" s="18"/>
      <c r="Y1" s="18"/>
      <c r="Z1" s="18"/>
      <c r="AA1" s="18"/>
      <c r="AB1" s="18"/>
      <c r="AC1" s="18"/>
      <c r="AD1" s="18"/>
    </row>
    <row r="2" spans="1:30" ht="15" customHeight="1" x14ac:dyDescent="0.25">
      <c r="A2" s="76"/>
      <c r="B2" s="76"/>
      <c r="C2" s="76"/>
      <c r="D2" s="76"/>
      <c r="E2" s="76"/>
      <c r="F2" s="76"/>
      <c r="G2" s="76"/>
      <c r="H2" s="76"/>
      <c r="I2" s="76"/>
      <c r="J2" s="76"/>
      <c r="K2" s="76"/>
      <c r="L2" s="18"/>
      <c r="M2" s="18"/>
      <c r="N2" s="18"/>
      <c r="O2" s="18"/>
      <c r="P2" s="18"/>
      <c r="Q2" s="18"/>
      <c r="R2" s="18"/>
      <c r="S2" s="18"/>
      <c r="T2" s="18"/>
      <c r="U2" s="18"/>
      <c r="V2" s="18"/>
      <c r="W2" s="18"/>
      <c r="X2" s="18"/>
      <c r="Y2" s="18"/>
      <c r="Z2" s="18"/>
      <c r="AA2" s="18"/>
      <c r="AB2" s="18"/>
      <c r="AC2" s="18"/>
      <c r="AD2" s="18"/>
    </row>
    <row r="3" spans="1:30" ht="15" customHeight="1" x14ac:dyDescent="0.25">
      <c r="A3" s="76"/>
      <c r="B3" s="76"/>
      <c r="C3" s="76"/>
      <c r="D3" s="76"/>
      <c r="E3" s="76"/>
      <c r="F3" s="76"/>
      <c r="G3" s="76"/>
      <c r="H3" s="76"/>
      <c r="I3" s="76"/>
      <c r="J3" s="76"/>
      <c r="K3" s="76"/>
      <c r="L3" s="18"/>
      <c r="M3" s="18"/>
      <c r="N3" s="18"/>
      <c r="O3" s="18"/>
      <c r="P3" s="18"/>
      <c r="Q3" s="18"/>
      <c r="R3" s="18"/>
      <c r="S3" s="18"/>
      <c r="T3" s="18"/>
      <c r="U3" s="18"/>
      <c r="V3" s="18"/>
      <c r="W3" s="18"/>
      <c r="X3" s="18"/>
      <c r="Y3" s="18"/>
      <c r="Z3" s="18"/>
      <c r="AA3" s="18"/>
      <c r="AB3" s="18"/>
      <c r="AC3" s="18"/>
      <c r="AD3" s="18"/>
    </row>
    <row r="4" spans="1:30" ht="15" customHeight="1" x14ac:dyDescent="0.25">
      <c r="A4" s="76"/>
      <c r="B4" s="76"/>
      <c r="C4" s="76"/>
      <c r="D4" s="76"/>
      <c r="E4" s="76"/>
      <c r="F4" s="76"/>
      <c r="G4" s="76"/>
      <c r="H4" s="76"/>
      <c r="I4" s="76"/>
      <c r="J4" s="76"/>
      <c r="K4" s="76"/>
      <c r="L4" s="18"/>
      <c r="M4" s="18"/>
      <c r="N4" s="18"/>
      <c r="O4" s="18"/>
      <c r="P4" s="18"/>
      <c r="Q4" s="18"/>
      <c r="R4" s="18"/>
      <c r="S4" s="18"/>
      <c r="T4" s="18"/>
      <c r="U4" s="18"/>
      <c r="V4" s="18"/>
      <c r="W4" s="18"/>
      <c r="X4" s="18"/>
      <c r="Y4" s="18"/>
      <c r="Z4" s="18"/>
      <c r="AA4" s="18"/>
      <c r="AB4" s="18"/>
      <c r="AC4" s="18"/>
      <c r="AD4" s="18"/>
    </row>
    <row r="7" spans="1:30" ht="15" customHeight="1" x14ac:dyDescent="0.25"/>
    <row r="8" spans="1:30" ht="15" customHeight="1" x14ac:dyDescent="0.25">
      <c r="B8" s="83" t="s">
        <v>62</v>
      </c>
      <c r="C8" s="84"/>
      <c r="D8" s="84"/>
      <c r="E8" s="85"/>
    </row>
    <row r="9" spans="1:30" ht="14.25" customHeight="1" x14ac:dyDescent="0.25">
      <c r="B9" s="86"/>
      <c r="C9" s="87"/>
      <c r="D9" s="87"/>
      <c r="E9" s="88"/>
    </row>
    <row r="10" spans="1:30" ht="15" customHeight="1" x14ac:dyDescent="0.4">
      <c r="B10" s="4" t="s">
        <v>1</v>
      </c>
      <c r="C10" s="5" t="s">
        <v>2</v>
      </c>
      <c r="D10" s="5" t="s">
        <v>29</v>
      </c>
      <c r="E10" s="6" t="s">
        <v>55</v>
      </c>
    </row>
    <row r="11" spans="1:30" ht="15" customHeight="1" thickBot="1" x14ac:dyDescent="0.3">
      <c r="B11" s="7">
        <v>2017</v>
      </c>
      <c r="C11" s="8" t="s">
        <v>31</v>
      </c>
      <c r="D11" s="8">
        <v>130.30000000000001</v>
      </c>
      <c r="E11" s="9"/>
    </row>
    <row r="12" spans="1:30" ht="14.25" customHeight="1" x14ac:dyDescent="0.25">
      <c r="B12" s="7">
        <v>2017</v>
      </c>
      <c r="C12" s="8" t="s">
        <v>46</v>
      </c>
      <c r="D12" s="8">
        <v>137.19999999999999</v>
      </c>
      <c r="E12" s="9">
        <f>(D12-D11)/D11</f>
        <v>5.295471987720627E-2</v>
      </c>
      <c r="T12" s="77" t="s">
        <v>59</v>
      </c>
      <c r="U12" s="78"/>
      <c r="V12" s="78"/>
      <c r="W12" s="79"/>
    </row>
    <row r="13" spans="1:30" ht="15.75" customHeight="1" thickBot="1" x14ac:dyDescent="0.3">
      <c r="B13" s="7">
        <v>2018</v>
      </c>
      <c r="C13" s="8" t="s">
        <v>31</v>
      </c>
      <c r="D13" s="8">
        <v>136.9</v>
      </c>
      <c r="E13" s="9"/>
      <c r="T13" s="80"/>
      <c r="U13" s="81"/>
      <c r="V13" s="81"/>
      <c r="W13" s="82"/>
    </row>
    <row r="14" spans="1:30" ht="15" customHeight="1" x14ac:dyDescent="0.25">
      <c r="B14" s="7">
        <v>2018</v>
      </c>
      <c r="C14" s="8" t="s">
        <v>46</v>
      </c>
      <c r="D14" s="8">
        <v>140.1</v>
      </c>
      <c r="E14" s="9">
        <f t="shared" ref="E14:E22" si="0">(D14-D13)/D13</f>
        <v>2.3374726077428697E-2</v>
      </c>
      <c r="R14" s="93" t="s">
        <v>60</v>
      </c>
      <c r="S14" s="94"/>
      <c r="T14" s="94"/>
      <c r="U14" s="94"/>
      <c r="V14" s="94"/>
      <c r="W14" s="94"/>
      <c r="X14" s="94"/>
      <c r="Y14" s="95"/>
    </row>
    <row r="15" spans="1:30" ht="15" customHeight="1" x14ac:dyDescent="0.25">
      <c r="B15" s="7">
        <v>2019</v>
      </c>
      <c r="C15" s="8" t="s">
        <v>31</v>
      </c>
      <c r="D15" s="8">
        <v>139.6</v>
      </c>
      <c r="E15" s="9"/>
      <c r="R15" s="96"/>
      <c r="S15" s="97"/>
      <c r="T15" s="97"/>
      <c r="U15" s="97"/>
      <c r="V15" s="97"/>
      <c r="W15" s="97"/>
      <c r="X15" s="97"/>
      <c r="Y15" s="98"/>
    </row>
    <row r="16" spans="1:30" ht="15" customHeight="1" x14ac:dyDescent="0.25">
      <c r="B16" s="7">
        <v>2019</v>
      </c>
      <c r="C16" s="8" t="s">
        <v>46</v>
      </c>
      <c r="D16" s="8">
        <v>150.4</v>
      </c>
      <c r="E16" s="9">
        <f t="shared" si="0"/>
        <v>7.7363896848137617E-2</v>
      </c>
      <c r="R16" s="96"/>
      <c r="S16" s="97"/>
      <c r="T16" s="97"/>
      <c r="U16" s="97"/>
      <c r="V16" s="97"/>
      <c r="W16" s="97"/>
      <c r="X16" s="97"/>
      <c r="Y16" s="98"/>
    </row>
    <row r="17" spans="2:25" ht="15" customHeight="1" x14ac:dyDescent="0.25">
      <c r="B17" s="7">
        <v>2020</v>
      </c>
      <c r="C17" s="8" t="s">
        <v>31</v>
      </c>
      <c r="D17" s="8">
        <v>150.19999999999999</v>
      </c>
      <c r="E17" s="9"/>
      <c r="R17" s="96"/>
      <c r="S17" s="97"/>
      <c r="T17" s="97"/>
      <c r="U17" s="97"/>
      <c r="V17" s="97"/>
      <c r="W17" s="97"/>
      <c r="X17" s="97"/>
      <c r="Y17" s="98"/>
    </row>
    <row r="18" spans="2:25" ht="15" customHeight="1" x14ac:dyDescent="0.25">
      <c r="B18" s="7">
        <v>2020</v>
      </c>
      <c r="C18" s="8" t="s">
        <v>46</v>
      </c>
      <c r="D18" s="8">
        <v>158.9</v>
      </c>
      <c r="E18" s="9">
        <f t="shared" si="0"/>
        <v>5.7922769640479481E-2</v>
      </c>
      <c r="R18" s="96"/>
      <c r="S18" s="97"/>
      <c r="T18" s="97"/>
      <c r="U18" s="97"/>
      <c r="V18" s="97"/>
      <c r="W18" s="97"/>
      <c r="X18" s="97"/>
      <c r="Y18" s="98"/>
    </row>
    <row r="19" spans="2:25" ht="15" customHeight="1" x14ac:dyDescent="0.25">
      <c r="B19" s="7">
        <v>2021</v>
      </c>
      <c r="C19" s="8" t="s">
        <v>31</v>
      </c>
      <c r="D19" s="8">
        <v>157.30000000000001</v>
      </c>
      <c r="E19" s="9"/>
      <c r="R19" s="96"/>
      <c r="S19" s="97"/>
      <c r="T19" s="97"/>
      <c r="U19" s="97"/>
      <c r="V19" s="97"/>
      <c r="W19" s="97"/>
      <c r="X19" s="97"/>
      <c r="Y19" s="98"/>
    </row>
    <row r="20" spans="2:25" ht="15" customHeight="1" x14ac:dyDescent="0.25">
      <c r="B20" s="7">
        <v>2021</v>
      </c>
      <c r="C20" s="8" t="s">
        <v>46</v>
      </c>
      <c r="D20" s="8">
        <v>166.2</v>
      </c>
      <c r="E20" s="9">
        <f t="shared" si="0"/>
        <v>5.657978385251098E-2</v>
      </c>
      <c r="R20" s="96"/>
      <c r="S20" s="97"/>
      <c r="T20" s="97"/>
      <c r="U20" s="97"/>
      <c r="V20" s="97"/>
      <c r="W20" s="97"/>
      <c r="X20" s="97"/>
      <c r="Y20" s="98"/>
    </row>
    <row r="21" spans="2:25" ht="15" customHeight="1" x14ac:dyDescent="0.25">
      <c r="B21" s="7">
        <v>2022</v>
      </c>
      <c r="C21" s="8" t="s">
        <v>31</v>
      </c>
      <c r="D21" s="8">
        <v>165.7</v>
      </c>
      <c r="E21" s="9"/>
      <c r="R21" s="96"/>
      <c r="S21" s="97"/>
      <c r="T21" s="97"/>
      <c r="U21" s="97"/>
      <c r="V21" s="97"/>
      <c r="W21" s="97"/>
      <c r="X21" s="97"/>
      <c r="Y21" s="98"/>
    </row>
    <row r="22" spans="2:25" x14ac:dyDescent="0.25">
      <c r="B22" s="10">
        <v>2022</v>
      </c>
      <c r="C22" s="11" t="s">
        <v>46</v>
      </c>
      <c r="D22" s="11">
        <v>175.7</v>
      </c>
      <c r="E22" s="12">
        <f t="shared" si="0"/>
        <v>6.0350030175015092E-2</v>
      </c>
      <c r="R22" s="96"/>
      <c r="S22" s="97"/>
      <c r="T22" s="97"/>
      <c r="U22" s="97"/>
      <c r="V22" s="97"/>
      <c r="W22" s="97"/>
      <c r="X22" s="97"/>
      <c r="Y22" s="98"/>
    </row>
    <row r="23" spans="2:25" ht="15.75" thickBot="1" x14ac:dyDescent="0.3">
      <c r="R23" s="99"/>
      <c r="S23" s="100"/>
      <c r="T23" s="100"/>
      <c r="U23" s="100"/>
      <c r="V23" s="100"/>
      <c r="W23" s="100"/>
      <c r="X23" s="100"/>
      <c r="Y23" s="101"/>
    </row>
    <row r="24" spans="2:25" ht="15" customHeight="1" x14ac:dyDescent="0.25"/>
    <row r="25" spans="2:25" ht="15" customHeight="1" x14ac:dyDescent="0.25">
      <c r="B25" s="83" t="s">
        <v>56</v>
      </c>
      <c r="C25" s="84"/>
      <c r="D25" s="84"/>
      <c r="E25" s="85"/>
    </row>
    <row r="26" spans="2:25" ht="15" customHeight="1" x14ac:dyDescent="0.25">
      <c r="B26" s="86"/>
      <c r="C26" s="87"/>
      <c r="D26" s="87"/>
      <c r="E26" s="88"/>
    </row>
    <row r="27" spans="2:25" ht="19.5" x14ac:dyDescent="0.4">
      <c r="B27" s="89" t="s">
        <v>1</v>
      </c>
      <c r="C27" s="90"/>
      <c r="D27" s="13" t="s">
        <v>55</v>
      </c>
      <c r="E27" s="14"/>
    </row>
    <row r="28" spans="2:25" x14ac:dyDescent="0.25">
      <c r="B28" s="105">
        <v>2017</v>
      </c>
      <c r="C28" s="106"/>
      <c r="D28" s="113">
        <v>5.295471987720627E-2</v>
      </c>
      <c r="E28" s="114"/>
    </row>
    <row r="29" spans="2:25" x14ac:dyDescent="0.25">
      <c r="B29" s="107">
        <v>2018</v>
      </c>
      <c r="C29" s="108"/>
      <c r="D29" s="111">
        <v>2.3374726077428697E-2</v>
      </c>
      <c r="E29" s="112"/>
    </row>
    <row r="30" spans="2:25" x14ac:dyDescent="0.25">
      <c r="B30" s="107">
        <v>2019</v>
      </c>
      <c r="C30" s="108"/>
      <c r="D30" s="111">
        <v>7.7363896848137617E-2</v>
      </c>
      <c r="E30" s="112"/>
    </row>
    <row r="31" spans="2:25" x14ac:dyDescent="0.25">
      <c r="B31" s="107">
        <v>2020</v>
      </c>
      <c r="C31" s="108"/>
      <c r="D31" s="111">
        <v>5.7922769640479481E-2</v>
      </c>
      <c r="E31" s="112"/>
    </row>
    <row r="32" spans="2:25" x14ac:dyDescent="0.25">
      <c r="B32" s="107">
        <v>2021</v>
      </c>
      <c r="C32" s="108"/>
      <c r="D32" s="111">
        <v>5.6579783852511001E-2</v>
      </c>
      <c r="E32" s="112"/>
    </row>
    <row r="33" spans="1:30" x14ac:dyDescent="0.25">
      <c r="B33" s="109">
        <v>2022</v>
      </c>
      <c r="C33" s="110"/>
      <c r="D33" s="103">
        <v>6.0350030175015092E-2</v>
      </c>
      <c r="E33" s="104"/>
    </row>
    <row r="36" spans="1:30" ht="15" customHeight="1" x14ac:dyDescent="0.25">
      <c r="A36" s="102" t="s">
        <v>57</v>
      </c>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7"/>
      <c r="AA36" s="16"/>
      <c r="AB36" s="16"/>
      <c r="AC36" s="16"/>
      <c r="AD36" s="16"/>
    </row>
    <row r="37" spans="1:30" x14ac:dyDescent="0.25">
      <c r="A37" s="102"/>
      <c r="B37" s="102"/>
      <c r="C37" s="102"/>
      <c r="D37" s="102"/>
      <c r="E37" s="102"/>
      <c r="F37" s="102"/>
      <c r="G37" s="102"/>
      <c r="H37" s="102"/>
      <c r="I37" s="102"/>
      <c r="J37" s="102"/>
      <c r="K37" s="102"/>
      <c r="L37" s="102"/>
      <c r="M37" s="102"/>
      <c r="N37" s="102"/>
      <c r="O37" s="102"/>
      <c r="P37" s="102"/>
      <c r="Q37" s="102"/>
      <c r="R37" s="102"/>
      <c r="S37" s="102"/>
      <c r="T37" s="102"/>
      <c r="U37" s="102"/>
      <c r="V37" s="102"/>
      <c r="W37" s="102"/>
      <c r="X37" s="102"/>
      <c r="Y37" s="102"/>
      <c r="Z37" s="17"/>
      <c r="AA37" s="16"/>
      <c r="AB37" s="16"/>
      <c r="AC37" s="16"/>
      <c r="AD37" s="16"/>
    </row>
    <row r="38" spans="1:30" x14ac:dyDescent="0.25">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7"/>
      <c r="AA38" s="16"/>
      <c r="AB38" s="16"/>
      <c r="AC38" s="16"/>
      <c r="AD38" s="16"/>
    </row>
    <row r="39" spans="1:30" ht="21.75" customHeight="1" x14ac:dyDescent="0.25">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7"/>
      <c r="AA39" s="16"/>
      <c r="AB39" s="16"/>
      <c r="AC39" s="16"/>
      <c r="AD39" s="16"/>
    </row>
    <row r="40" spans="1:30" x14ac:dyDescent="0.25">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6"/>
      <c r="AB40" s="16"/>
      <c r="AC40" s="16"/>
      <c r="AD40" s="16"/>
    </row>
    <row r="42" spans="1:30" x14ac:dyDescent="0.25">
      <c r="I42" s="91" t="s">
        <v>52</v>
      </c>
      <c r="J42" s="91"/>
      <c r="K42" s="91"/>
      <c r="L42" s="91"/>
      <c r="M42" s="91"/>
      <c r="N42" s="91"/>
    </row>
    <row r="43" spans="1:30" x14ac:dyDescent="0.25">
      <c r="I43" s="91"/>
      <c r="J43" s="91"/>
      <c r="K43" s="91"/>
      <c r="L43" s="91"/>
      <c r="M43" s="91"/>
      <c r="N43" s="91"/>
    </row>
    <row r="44" spans="1:30" ht="15" customHeight="1" x14ac:dyDescent="0.25">
      <c r="G44" s="92" t="s">
        <v>58</v>
      </c>
      <c r="H44" s="92"/>
      <c r="I44" s="92"/>
      <c r="J44" s="92"/>
      <c r="K44" s="92"/>
      <c r="L44" s="92"/>
      <c r="M44" s="92"/>
      <c r="N44" s="92"/>
      <c r="O44" s="92"/>
      <c r="P44" s="92"/>
      <c r="Q44" s="92"/>
    </row>
    <row r="45" spans="1:30" x14ac:dyDescent="0.25">
      <c r="G45" s="92"/>
      <c r="H45" s="92"/>
      <c r="I45" s="92"/>
      <c r="J45" s="92"/>
      <c r="K45" s="92"/>
      <c r="L45" s="92"/>
      <c r="M45" s="92"/>
      <c r="N45" s="92"/>
      <c r="O45" s="92"/>
      <c r="P45" s="92"/>
      <c r="Q45" s="92"/>
    </row>
    <row r="46" spans="1:30" x14ac:dyDescent="0.25">
      <c r="G46" s="92"/>
      <c r="H46" s="92"/>
      <c r="I46" s="92"/>
      <c r="J46" s="92"/>
      <c r="K46" s="92"/>
      <c r="L46" s="92"/>
      <c r="M46" s="92"/>
      <c r="N46" s="92"/>
      <c r="O46" s="92"/>
      <c r="P46" s="92"/>
      <c r="Q46" s="92"/>
    </row>
    <row r="47" spans="1:30" ht="20.25" customHeight="1" x14ac:dyDescent="0.25">
      <c r="G47" s="92"/>
      <c r="H47" s="92"/>
      <c r="I47" s="92"/>
      <c r="J47" s="92"/>
      <c r="K47" s="92"/>
      <c r="L47" s="92"/>
      <c r="M47" s="92"/>
      <c r="N47" s="92"/>
      <c r="O47" s="92"/>
      <c r="P47" s="92"/>
      <c r="Q47" s="92"/>
    </row>
  </sheetData>
  <mergeCells count="21">
    <mergeCell ref="I42:N43"/>
    <mergeCell ref="G44:Q47"/>
    <mergeCell ref="R14:Y23"/>
    <mergeCell ref="A36:Y39"/>
    <mergeCell ref="D33:E33"/>
    <mergeCell ref="B28:C28"/>
    <mergeCell ref="B29:C29"/>
    <mergeCell ref="B30:C30"/>
    <mergeCell ref="B31:C31"/>
    <mergeCell ref="B32:C32"/>
    <mergeCell ref="B33:C33"/>
    <mergeCell ref="D30:E30"/>
    <mergeCell ref="D31:E31"/>
    <mergeCell ref="D32:E32"/>
    <mergeCell ref="D28:E28"/>
    <mergeCell ref="D29:E29"/>
    <mergeCell ref="A1:K4"/>
    <mergeCell ref="T12:W13"/>
    <mergeCell ref="B8:E9"/>
    <mergeCell ref="B25:E26"/>
    <mergeCell ref="B27:C2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24058-9CDD-439E-AD0F-7945B7DFF394}">
  <dimension ref="A1:U147"/>
  <sheetViews>
    <sheetView zoomScale="55" zoomScaleNormal="55" workbookViewId="0">
      <selection activeCell="H136" sqref="H136"/>
    </sheetView>
  </sheetViews>
  <sheetFormatPr defaultRowHeight="15" x14ac:dyDescent="0.25"/>
  <cols>
    <col min="1" max="1" width="14.140625" bestFit="1" customWidth="1"/>
    <col min="2" max="2" width="35.7109375" bestFit="1" customWidth="1"/>
    <col min="3" max="3" width="36" bestFit="1" customWidth="1"/>
    <col min="4" max="4" width="22.7109375" bestFit="1" customWidth="1"/>
    <col min="5" max="5" width="22" bestFit="1" customWidth="1"/>
    <col min="6" max="6" width="28.42578125" bestFit="1" customWidth="1"/>
    <col min="7" max="7" width="35.7109375" bestFit="1" customWidth="1"/>
    <col min="8" max="8" width="26.85546875" bestFit="1" customWidth="1"/>
    <col min="9" max="9" width="19.5703125" bestFit="1" customWidth="1"/>
    <col min="10" max="10" width="30.85546875" bestFit="1" customWidth="1"/>
    <col min="11" max="11" width="36.28515625" bestFit="1" customWidth="1"/>
    <col min="12" max="12" width="14.140625" bestFit="1" customWidth="1"/>
    <col min="13" max="13" width="36.28515625" bestFit="1" customWidth="1"/>
    <col min="14" max="14" width="50" bestFit="1" customWidth="1"/>
    <col min="15" max="15" width="30.85546875" bestFit="1" customWidth="1"/>
    <col min="16" max="16" width="19.5703125" bestFit="1" customWidth="1"/>
    <col min="17" max="17" width="30.85546875" bestFit="1" customWidth="1"/>
    <col min="18" max="18" width="26.7109375" style="38" customWidth="1"/>
    <col min="19" max="19" width="32" bestFit="1" customWidth="1"/>
    <col min="20" max="20" width="14.42578125" bestFit="1" customWidth="1"/>
    <col min="21" max="21" width="21.42578125" bestFit="1" customWidth="1"/>
    <col min="22" max="22" width="43.28515625" bestFit="1" customWidth="1"/>
    <col min="23" max="23" width="12.5703125" bestFit="1" customWidth="1"/>
    <col min="24" max="24" width="42.7109375" bestFit="1" customWidth="1"/>
    <col min="25" max="25" width="39.28515625" bestFit="1" customWidth="1"/>
    <col min="26" max="26" width="16.7109375" bestFit="1" customWidth="1"/>
    <col min="27" max="27" width="37" bestFit="1" customWidth="1"/>
    <col min="28" max="28" width="22.140625" bestFit="1" customWidth="1"/>
    <col min="29" max="29" width="21.5703125" bestFit="1" customWidth="1"/>
  </cols>
  <sheetData>
    <row r="1" spans="1:18" x14ac:dyDescent="0.25">
      <c r="A1" s="117" t="s">
        <v>117</v>
      </c>
      <c r="B1" s="117"/>
      <c r="C1" s="117"/>
      <c r="D1" s="117"/>
      <c r="E1" s="117"/>
      <c r="F1" s="117"/>
      <c r="G1" s="117"/>
      <c r="H1" s="117"/>
      <c r="I1" s="117"/>
      <c r="J1" s="117"/>
      <c r="K1" s="117"/>
      <c r="L1" s="117"/>
      <c r="M1" s="117"/>
    </row>
    <row r="2" spans="1:18" x14ac:dyDescent="0.25">
      <c r="A2" s="117"/>
      <c r="B2" s="117"/>
      <c r="C2" s="117"/>
      <c r="D2" s="117"/>
      <c r="E2" s="117"/>
      <c r="F2" s="117"/>
      <c r="G2" s="117"/>
      <c r="H2" s="117"/>
      <c r="I2" s="117"/>
      <c r="J2" s="117"/>
      <c r="K2" s="117"/>
      <c r="L2" s="117"/>
      <c r="M2" s="117"/>
    </row>
    <row r="3" spans="1:18" x14ac:dyDescent="0.25">
      <c r="A3" s="117"/>
      <c r="B3" s="117"/>
      <c r="C3" s="117"/>
      <c r="D3" s="117"/>
      <c r="E3" s="117"/>
      <c r="F3" s="117"/>
      <c r="G3" s="117"/>
      <c r="H3" s="117"/>
      <c r="I3" s="117"/>
      <c r="J3" s="117"/>
      <c r="K3" s="117"/>
      <c r="L3" s="117"/>
      <c r="M3" s="117"/>
    </row>
    <row r="4" spans="1:18" x14ac:dyDescent="0.25">
      <c r="A4" s="117"/>
      <c r="B4" s="117"/>
      <c r="C4" s="117"/>
      <c r="D4" s="117"/>
      <c r="E4" s="117"/>
      <c r="F4" s="117"/>
      <c r="G4" s="117"/>
      <c r="H4" s="117"/>
      <c r="I4" s="117"/>
      <c r="J4" s="117"/>
      <c r="K4" s="117"/>
      <c r="L4" s="117"/>
      <c r="M4" s="117"/>
    </row>
    <row r="5" spans="1:18" x14ac:dyDescent="0.25">
      <c r="A5" s="117"/>
      <c r="B5" s="117"/>
      <c r="C5" s="117"/>
      <c r="D5" s="117"/>
      <c r="E5" s="117"/>
      <c r="F5" s="117"/>
      <c r="G5" s="117"/>
      <c r="H5" s="117"/>
      <c r="I5" s="117"/>
      <c r="J5" s="117"/>
      <c r="K5" s="117"/>
      <c r="L5" s="117"/>
      <c r="M5" s="117"/>
    </row>
    <row r="11" spans="1:18" x14ac:dyDescent="0.25">
      <c r="D11" s="118" t="s">
        <v>83</v>
      </c>
      <c r="E11" s="119"/>
      <c r="F11" s="119"/>
      <c r="G11" s="119"/>
      <c r="H11" s="119"/>
      <c r="I11" s="119"/>
      <c r="J11" s="119"/>
      <c r="K11" s="119"/>
    </row>
    <row r="12" spans="1:18" x14ac:dyDescent="0.25">
      <c r="D12" s="118"/>
      <c r="E12" s="119"/>
      <c r="F12" s="119"/>
      <c r="G12" s="119"/>
      <c r="H12" s="119"/>
      <c r="I12" s="119"/>
      <c r="J12" s="119"/>
      <c r="K12" s="119"/>
    </row>
    <row r="13" spans="1:18" x14ac:dyDescent="0.25">
      <c r="D13" s="118"/>
      <c r="E13" s="119"/>
      <c r="F13" s="119"/>
      <c r="G13" s="119"/>
      <c r="H13" s="119"/>
      <c r="I13" s="119"/>
      <c r="J13" s="119"/>
      <c r="K13" s="119"/>
    </row>
    <row r="14" spans="1:18" x14ac:dyDescent="0.25">
      <c r="D14" s="118"/>
      <c r="E14" s="119"/>
      <c r="F14" s="119"/>
      <c r="G14" s="119"/>
      <c r="H14" s="119"/>
      <c r="I14" s="119"/>
      <c r="J14" s="119"/>
      <c r="K14" s="119"/>
    </row>
    <row r="15" spans="1:18" s="24" customFormat="1" ht="19.5" x14ac:dyDescent="0.4">
      <c r="A15" t="s">
        <v>0</v>
      </c>
      <c r="B15" t="s">
        <v>2</v>
      </c>
      <c r="C15" t="s">
        <v>3</v>
      </c>
      <c r="D15" t="s">
        <v>4</v>
      </c>
      <c r="E15" t="s">
        <v>5</v>
      </c>
      <c r="F15" t="s">
        <v>6</v>
      </c>
      <c r="G15" t="s">
        <v>7</v>
      </c>
      <c r="H15" t="s">
        <v>8</v>
      </c>
      <c r="I15" t="s">
        <v>9</v>
      </c>
      <c r="J15" t="s">
        <v>10</v>
      </c>
      <c r="K15" t="s">
        <v>11</v>
      </c>
      <c r="L15" t="s">
        <v>12</v>
      </c>
      <c r="M15" t="s">
        <v>13</v>
      </c>
      <c r="N15" t="s">
        <v>14</v>
      </c>
      <c r="O15" t="s">
        <v>15</v>
      </c>
      <c r="P15" t="s">
        <v>61</v>
      </c>
      <c r="Q15" t="s">
        <v>77</v>
      </c>
      <c r="R15" s="41"/>
    </row>
    <row r="16" spans="1:18" x14ac:dyDescent="0.25">
      <c r="A16" s="25" t="s">
        <v>30</v>
      </c>
      <c r="B16" s="42">
        <v>44713</v>
      </c>
      <c r="C16">
        <v>153.80000000000001</v>
      </c>
      <c r="D16">
        <v>217.2</v>
      </c>
      <c r="E16">
        <v>169.6</v>
      </c>
      <c r="F16">
        <v>165.4</v>
      </c>
      <c r="G16">
        <v>208.1</v>
      </c>
      <c r="H16">
        <v>165.8</v>
      </c>
      <c r="I16">
        <v>167.3</v>
      </c>
      <c r="J16">
        <v>164.6</v>
      </c>
      <c r="K16">
        <v>119.1</v>
      </c>
      <c r="L16">
        <v>188.9</v>
      </c>
      <c r="M16">
        <v>174.2</v>
      </c>
      <c r="N16">
        <v>181.9</v>
      </c>
      <c r="O16">
        <v>172.4</v>
      </c>
      <c r="P16">
        <v>2248.3000000000002</v>
      </c>
      <c r="Q16" s="38">
        <v>9.6551104724268005E-3</v>
      </c>
      <c r="R16" s="40"/>
    </row>
    <row r="17" spans="1:19" x14ac:dyDescent="0.25">
      <c r="A17" s="25" t="s">
        <v>30</v>
      </c>
      <c r="B17" s="42">
        <v>44743</v>
      </c>
      <c r="C17">
        <v>155.19999999999999</v>
      </c>
      <c r="D17">
        <v>210.8</v>
      </c>
      <c r="E17">
        <v>174.3</v>
      </c>
      <c r="F17">
        <v>166.3</v>
      </c>
      <c r="G17">
        <v>202.2</v>
      </c>
      <c r="H17">
        <v>169.6</v>
      </c>
      <c r="I17">
        <v>168.6</v>
      </c>
      <c r="J17">
        <v>164.4</v>
      </c>
      <c r="K17">
        <v>119.2</v>
      </c>
      <c r="L17">
        <v>191.8</v>
      </c>
      <c r="M17">
        <v>174.5</v>
      </c>
      <c r="N17">
        <v>183.1</v>
      </c>
      <c r="O17">
        <v>172.5</v>
      </c>
      <c r="P17">
        <v>2252.5</v>
      </c>
      <c r="Q17" s="38">
        <v>1.86807810345586E-3</v>
      </c>
      <c r="R17" s="40"/>
      <c r="S17" s="39"/>
    </row>
    <row r="18" spans="1:19" x14ac:dyDescent="0.25">
      <c r="A18" s="25" t="s">
        <v>30</v>
      </c>
      <c r="B18" s="42">
        <v>44774</v>
      </c>
      <c r="C18">
        <v>159.5</v>
      </c>
      <c r="D18">
        <v>204.1</v>
      </c>
      <c r="E18">
        <v>168.3</v>
      </c>
      <c r="F18">
        <v>167.9</v>
      </c>
      <c r="G18">
        <v>198.1</v>
      </c>
      <c r="H18">
        <v>169.2</v>
      </c>
      <c r="I18">
        <v>173.1</v>
      </c>
      <c r="J18">
        <v>167.1</v>
      </c>
      <c r="K18">
        <v>120.2</v>
      </c>
      <c r="L18">
        <v>195.6</v>
      </c>
      <c r="M18">
        <v>174.8</v>
      </c>
      <c r="N18">
        <v>184</v>
      </c>
      <c r="O18">
        <v>173.9</v>
      </c>
      <c r="P18">
        <v>2255.7999999999997</v>
      </c>
      <c r="Q18" s="38">
        <v>1.46503884572685E-3</v>
      </c>
      <c r="R18" s="40"/>
      <c r="S18" s="39"/>
    </row>
    <row r="19" spans="1:19" x14ac:dyDescent="0.25">
      <c r="A19" s="25" t="s">
        <v>30</v>
      </c>
      <c r="B19" s="42">
        <v>44805</v>
      </c>
      <c r="C19">
        <v>162.9</v>
      </c>
      <c r="D19">
        <v>206.7</v>
      </c>
      <c r="E19">
        <v>169</v>
      </c>
      <c r="F19">
        <v>169.5</v>
      </c>
      <c r="G19">
        <v>194.1</v>
      </c>
      <c r="H19">
        <v>164.1</v>
      </c>
      <c r="I19">
        <v>176.9</v>
      </c>
      <c r="J19">
        <v>169</v>
      </c>
      <c r="K19">
        <v>120.8</v>
      </c>
      <c r="L19">
        <v>199.1</v>
      </c>
      <c r="M19">
        <v>175.4</v>
      </c>
      <c r="N19">
        <v>184.8</v>
      </c>
      <c r="O19">
        <v>175.5</v>
      </c>
      <c r="P19">
        <v>2267.8000000000002</v>
      </c>
      <c r="Q19" s="38">
        <v>5.3196205337354601E-3</v>
      </c>
      <c r="R19" s="40"/>
      <c r="S19" s="39"/>
    </row>
    <row r="20" spans="1:19" x14ac:dyDescent="0.25">
      <c r="A20" s="25" t="s">
        <v>30</v>
      </c>
      <c r="B20" s="42">
        <v>44835</v>
      </c>
      <c r="C20">
        <v>164.7</v>
      </c>
      <c r="D20">
        <v>208.8</v>
      </c>
      <c r="E20">
        <v>170.3</v>
      </c>
      <c r="F20">
        <v>170.9</v>
      </c>
      <c r="G20">
        <v>191.6</v>
      </c>
      <c r="H20">
        <v>162.19999999999999</v>
      </c>
      <c r="I20">
        <v>184.8</v>
      </c>
      <c r="J20">
        <v>169.7</v>
      </c>
      <c r="K20">
        <v>121.1</v>
      </c>
      <c r="L20">
        <v>201.6</v>
      </c>
      <c r="M20">
        <v>175.8</v>
      </c>
      <c r="N20">
        <v>185.6</v>
      </c>
      <c r="O20">
        <v>177.4</v>
      </c>
      <c r="P20">
        <v>2284.5</v>
      </c>
      <c r="Q20" s="38">
        <v>7.3639650762853098E-3</v>
      </c>
      <c r="R20" s="40"/>
      <c r="S20" s="39"/>
    </row>
    <row r="21" spans="1:19" x14ac:dyDescent="0.25">
      <c r="A21" s="25" t="s">
        <v>30</v>
      </c>
      <c r="B21" s="42">
        <v>44866</v>
      </c>
      <c r="C21">
        <v>166.9</v>
      </c>
      <c r="D21">
        <v>207.2</v>
      </c>
      <c r="E21">
        <v>180.2</v>
      </c>
      <c r="F21">
        <v>172.3</v>
      </c>
      <c r="G21">
        <v>194</v>
      </c>
      <c r="H21">
        <v>159.1</v>
      </c>
      <c r="I21">
        <v>171.6</v>
      </c>
      <c r="J21">
        <v>170.2</v>
      </c>
      <c r="K21">
        <v>121.5</v>
      </c>
      <c r="L21">
        <v>204.8</v>
      </c>
      <c r="M21">
        <v>176.4</v>
      </c>
      <c r="N21">
        <v>186.9</v>
      </c>
      <c r="O21">
        <v>176.6</v>
      </c>
      <c r="P21">
        <v>2287.6999999999998</v>
      </c>
      <c r="Q21" s="38">
        <v>1.4007441453271301E-3</v>
      </c>
      <c r="R21" s="40"/>
      <c r="S21" s="39"/>
    </row>
    <row r="22" spans="1:19" x14ac:dyDescent="0.25">
      <c r="A22" s="25" t="s">
        <v>30</v>
      </c>
      <c r="B22" s="42">
        <v>44896</v>
      </c>
      <c r="C22">
        <v>168.8</v>
      </c>
      <c r="D22">
        <v>206.9</v>
      </c>
      <c r="E22">
        <v>189.1</v>
      </c>
      <c r="F22">
        <v>173.4</v>
      </c>
      <c r="G22">
        <v>193.9</v>
      </c>
      <c r="H22">
        <v>156.69999999999999</v>
      </c>
      <c r="I22">
        <v>150.19999999999999</v>
      </c>
      <c r="J22">
        <v>170.5</v>
      </c>
      <c r="K22">
        <v>121.2</v>
      </c>
      <c r="L22">
        <v>207.5</v>
      </c>
      <c r="M22">
        <v>176.8</v>
      </c>
      <c r="N22">
        <v>187.7</v>
      </c>
      <c r="O22">
        <v>174.4</v>
      </c>
      <c r="P22">
        <v>2277.1</v>
      </c>
      <c r="Q22" s="38">
        <v>-4.6334746688813698E-3</v>
      </c>
      <c r="R22" s="40"/>
      <c r="S22" s="39"/>
    </row>
    <row r="23" spans="1:19" x14ac:dyDescent="0.25">
      <c r="A23" s="25" t="s">
        <v>30</v>
      </c>
      <c r="B23" s="42">
        <v>44927</v>
      </c>
      <c r="C23">
        <v>174</v>
      </c>
      <c r="D23">
        <v>208.3</v>
      </c>
      <c r="E23">
        <v>192.9</v>
      </c>
      <c r="F23">
        <v>174.3</v>
      </c>
      <c r="G23">
        <v>192.6</v>
      </c>
      <c r="H23">
        <v>156.30000000000001</v>
      </c>
      <c r="I23">
        <v>142.9</v>
      </c>
      <c r="J23">
        <v>170.7</v>
      </c>
      <c r="K23">
        <v>120.3</v>
      </c>
      <c r="L23">
        <v>210.5</v>
      </c>
      <c r="M23">
        <v>176.9</v>
      </c>
      <c r="N23">
        <v>188.5</v>
      </c>
      <c r="O23">
        <v>175</v>
      </c>
      <c r="P23">
        <v>2283.2000000000003</v>
      </c>
      <c r="Q23" s="38">
        <v>2.6788459004876198E-3</v>
      </c>
      <c r="R23" s="40"/>
    </row>
    <row r="24" spans="1:19" x14ac:dyDescent="0.25">
      <c r="A24" s="25" t="s">
        <v>30</v>
      </c>
      <c r="B24" s="42">
        <v>44958</v>
      </c>
      <c r="C24">
        <v>174.2</v>
      </c>
      <c r="D24">
        <v>205.2</v>
      </c>
      <c r="E24">
        <v>173.9</v>
      </c>
      <c r="F24">
        <v>177</v>
      </c>
      <c r="G24">
        <v>183.4</v>
      </c>
      <c r="H24">
        <v>167.2</v>
      </c>
      <c r="I24">
        <v>140.9</v>
      </c>
      <c r="J24">
        <v>170.4</v>
      </c>
      <c r="K24">
        <v>119.1</v>
      </c>
      <c r="L24">
        <v>212.1</v>
      </c>
      <c r="M24">
        <v>177.6</v>
      </c>
      <c r="N24">
        <v>189.9</v>
      </c>
      <c r="O24">
        <v>174.8</v>
      </c>
      <c r="P24">
        <v>2265.6999999999998</v>
      </c>
      <c r="Q24" s="38">
        <v>-7.6646811492643904E-3</v>
      </c>
      <c r="R24" s="40"/>
    </row>
    <row r="25" spans="1:19" x14ac:dyDescent="0.25">
      <c r="A25" s="25" t="s">
        <v>30</v>
      </c>
      <c r="B25" s="42">
        <v>44986</v>
      </c>
      <c r="C25">
        <v>174.3</v>
      </c>
      <c r="D25">
        <v>205.2</v>
      </c>
      <c r="E25">
        <v>173.9</v>
      </c>
      <c r="F25">
        <v>177</v>
      </c>
      <c r="G25">
        <v>183.3</v>
      </c>
      <c r="H25">
        <v>167.2</v>
      </c>
      <c r="I25">
        <v>140.9</v>
      </c>
      <c r="J25">
        <v>170.5</v>
      </c>
      <c r="K25">
        <v>119.1</v>
      </c>
      <c r="L25">
        <v>212.1</v>
      </c>
      <c r="M25">
        <v>177.6</v>
      </c>
      <c r="N25">
        <v>189.9</v>
      </c>
      <c r="O25">
        <v>174.8</v>
      </c>
      <c r="P25">
        <v>2265.8000000000002</v>
      </c>
      <c r="Q25" s="38">
        <v>4.4136469965292803E-5</v>
      </c>
      <c r="R25" s="40"/>
    </row>
    <row r="26" spans="1:19" x14ac:dyDescent="0.25">
      <c r="A26" s="25" t="s">
        <v>30</v>
      </c>
      <c r="B26" s="42">
        <v>45017</v>
      </c>
      <c r="C26">
        <v>173.3</v>
      </c>
      <c r="D26">
        <v>206.9</v>
      </c>
      <c r="E26">
        <v>167.9</v>
      </c>
      <c r="F26">
        <v>178.2</v>
      </c>
      <c r="G26">
        <v>178.5</v>
      </c>
      <c r="H26">
        <v>173.7</v>
      </c>
      <c r="I26">
        <v>142.80000000000001</v>
      </c>
      <c r="J26">
        <v>172.8</v>
      </c>
      <c r="K26">
        <v>120.4</v>
      </c>
      <c r="L26">
        <v>215.5</v>
      </c>
      <c r="M26">
        <v>178.2</v>
      </c>
      <c r="N26">
        <v>190.5</v>
      </c>
      <c r="O26">
        <v>175.5</v>
      </c>
      <c r="P26">
        <v>2274.1999999999998</v>
      </c>
      <c r="Q26" s="38">
        <v>3.70729984994246E-3</v>
      </c>
      <c r="R26" s="40"/>
    </row>
    <row r="27" spans="1:19" x14ac:dyDescent="0.25">
      <c r="A27" s="25" t="s">
        <v>30</v>
      </c>
      <c r="B27" s="42">
        <v>45047</v>
      </c>
      <c r="C27">
        <v>173.2</v>
      </c>
      <c r="D27">
        <v>211.5</v>
      </c>
      <c r="E27">
        <v>171</v>
      </c>
      <c r="F27">
        <v>179.6</v>
      </c>
      <c r="G27">
        <v>173.3</v>
      </c>
      <c r="H27">
        <v>169</v>
      </c>
      <c r="I27">
        <v>148.69999999999999</v>
      </c>
      <c r="J27">
        <v>174.9</v>
      </c>
      <c r="K27">
        <v>121.9</v>
      </c>
      <c r="L27">
        <v>221</v>
      </c>
      <c r="M27">
        <v>178.7</v>
      </c>
      <c r="N27">
        <v>191.1</v>
      </c>
      <c r="O27">
        <v>176.8</v>
      </c>
      <c r="P27">
        <v>2290.7000000000007</v>
      </c>
      <c r="Q27" s="38">
        <v>7.2552985665292899E-3</v>
      </c>
      <c r="R27" s="40"/>
    </row>
    <row r="28" spans="1:19" x14ac:dyDescent="0.25">
      <c r="A28" s="25" t="s">
        <v>34</v>
      </c>
      <c r="B28" s="42">
        <v>44713</v>
      </c>
      <c r="C28">
        <v>155</v>
      </c>
      <c r="D28">
        <v>219.4</v>
      </c>
      <c r="E28">
        <v>170.8</v>
      </c>
      <c r="F28">
        <v>165.8</v>
      </c>
      <c r="G28">
        <v>200.9</v>
      </c>
      <c r="H28">
        <v>169.7</v>
      </c>
      <c r="I28">
        <v>182.3</v>
      </c>
      <c r="J28">
        <v>164.3</v>
      </c>
      <c r="K28">
        <v>119.9</v>
      </c>
      <c r="L28">
        <v>187.1</v>
      </c>
      <c r="M28">
        <v>167.9</v>
      </c>
      <c r="N28">
        <v>183.9</v>
      </c>
      <c r="O28">
        <v>174.9</v>
      </c>
      <c r="P28">
        <v>2261.9</v>
      </c>
      <c r="Q28" s="38">
        <v>1.02729018714545E-2</v>
      </c>
      <c r="R28" s="40"/>
    </row>
    <row r="29" spans="1:19" x14ac:dyDescent="0.25">
      <c r="A29" s="25" t="s">
        <v>34</v>
      </c>
      <c r="B29" s="42">
        <v>44743</v>
      </c>
      <c r="C29">
        <v>156.5</v>
      </c>
      <c r="D29">
        <v>213</v>
      </c>
      <c r="E29">
        <v>175.2</v>
      </c>
      <c r="F29">
        <v>166.6</v>
      </c>
      <c r="G29">
        <v>195.8</v>
      </c>
      <c r="H29">
        <v>174.2</v>
      </c>
      <c r="I29">
        <v>182.1</v>
      </c>
      <c r="J29">
        <v>164.3</v>
      </c>
      <c r="K29">
        <v>120</v>
      </c>
      <c r="L29">
        <v>190</v>
      </c>
      <c r="M29">
        <v>168.4</v>
      </c>
      <c r="N29">
        <v>185.2</v>
      </c>
      <c r="O29">
        <v>175</v>
      </c>
      <c r="P29">
        <v>2266.3000000000002</v>
      </c>
      <c r="Q29" s="38">
        <v>1.9452672531942599E-3</v>
      </c>
      <c r="R29" s="40"/>
    </row>
    <row r="30" spans="1:19" x14ac:dyDescent="0.25">
      <c r="A30" s="25" t="s">
        <v>34</v>
      </c>
      <c r="B30" s="42">
        <v>44774</v>
      </c>
      <c r="C30">
        <v>160.30000000000001</v>
      </c>
      <c r="D30">
        <v>206.5</v>
      </c>
      <c r="E30">
        <v>169.2</v>
      </c>
      <c r="F30">
        <v>168.1</v>
      </c>
      <c r="G30">
        <v>192.4</v>
      </c>
      <c r="H30">
        <v>172.9</v>
      </c>
      <c r="I30">
        <v>186.7</v>
      </c>
      <c r="J30">
        <v>167.2</v>
      </c>
      <c r="K30">
        <v>120.9</v>
      </c>
      <c r="L30">
        <v>193.6</v>
      </c>
      <c r="M30">
        <v>168.8</v>
      </c>
      <c r="N30">
        <v>186.3</v>
      </c>
      <c r="O30">
        <v>176.3</v>
      </c>
      <c r="P30">
        <v>2269.2000000000003</v>
      </c>
      <c r="Q30" s="38">
        <v>1.2796187618585801E-3</v>
      </c>
      <c r="R30" s="40"/>
    </row>
    <row r="31" spans="1:19" x14ac:dyDescent="0.25">
      <c r="A31" s="25" t="s">
        <v>34</v>
      </c>
      <c r="B31" s="42">
        <v>44805</v>
      </c>
      <c r="C31">
        <v>163.5</v>
      </c>
      <c r="D31">
        <v>209.2</v>
      </c>
      <c r="E31">
        <v>169.7</v>
      </c>
      <c r="F31">
        <v>169.7</v>
      </c>
      <c r="G31">
        <v>188.7</v>
      </c>
      <c r="H31">
        <v>165.7</v>
      </c>
      <c r="I31">
        <v>191.8</v>
      </c>
      <c r="J31">
        <v>169.1</v>
      </c>
      <c r="K31">
        <v>121.6</v>
      </c>
      <c r="L31">
        <v>197.3</v>
      </c>
      <c r="M31">
        <v>169.4</v>
      </c>
      <c r="N31">
        <v>187.4</v>
      </c>
      <c r="O31">
        <v>177.8</v>
      </c>
      <c r="P31">
        <v>2280.9</v>
      </c>
      <c r="Q31" s="38">
        <v>5.1560021152828404E-3</v>
      </c>
      <c r="R31" s="40"/>
    </row>
    <row r="32" spans="1:19" x14ac:dyDescent="0.25">
      <c r="A32" s="25" t="s">
        <v>34</v>
      </c>
      <c r="B32" s="42">
        <v>44835</v>
      </c>
      <c r="C32">
        <v>165.2</v>
      </c>
      <c r="D32">
        <v>210.9</v>
      </c>
      <c r="E32">
        <v>170.9</v>
      </c>
      <c r="F32">
        <v>170.9</v>
      </c>
      <c r="G32">
        <v>186.5</v>
      </c>
      <c r="H32">
        <v>163.80000000000001</v>
      </c>
      <c r="I32">
        <v>199.7</v>
      </c>
      <c r="J32">
        <v>169.8</v>
      </c>
      <c r="K32">
        <v>121.9</v>
      </c>
      <c r="L32">
        <v>199.9</v>
      </c>
      <c r="M32">
        <v>169.9</v>
      </c>
      <c r="N32">
        <v>188.3</v>
      </c>
      <c r="O32">
        <v>179.6</v>
      </c>
      <c r="P32">
        <v>2297.3000000000002</v>
      </c>
      <c r="Q32" s="38">
        <v>7.1901442413082996E-3</v>
      </c>
      <c r="R32" s="40"/>
    </row>
    <row r="33" spans="1:18" x14ac:dyDescent="0.25">
      <c r="A33" s="25" t="s">
        <v>34</v>
      </c>
      <c r="B33" s="42">
        <v>44866</v>
      </c>
      <c r="C33">
        <v>167.4</v>
      </c>
      <c r="D33">
        <v>209.4</v>
      </c>
      <c r="E33">
        <v>181.4</v>
      </c>
      <c r="F33">
        <v>172.3</v>
      </c>
      <c r="G33">
        <v>188.9</v>
      </c>
      <c r="H33">
        <v>160.69999999999999</v>
      </c>
      <c r="I33">
        <v>183.1</v>
      </c>
      <c r="J33">
        <v>170.5</v>
      </c>
      <c r="K33">
        <v>122.1</v>
      </c>
      <c r="L33">
        <v>202.8</v>
      </c>
      <c r="M33">
        <v>170.4</v>
      </c>
      <c r="N33">
        <v>189.5</v>
      </c>
      <c r="O33">
        <v>178.3</v>
      </c>
      <c r="P33">
        <v>2296.8000000000002</v>
      </c>
      <c r="Q33" s="38">
        <v>-2.1764680276846701E-4</v>
      </c>
      <c r="R33" s="40"/>
    </row>
    <row r="34" spans="1:18" x14ac:dyDescent="0.25">
      <c r="A34" s="25" t="s">
        <v>34</v>
      </c>
      <c r="B34" s="42">
        <v>44896</v>
      </c>
      <c r="C34">
        <v>169.2</v>
      </c>
      <c r="D34">
        <v>209</v>
      </c>
      <c r="E34">
        <v>190.2</v>
      </c>
      <c r="F34">
        <v>173.6</v>
      </c>
      <c r="G34">
        <v>188.5</v>
      </c>
      <c r="H34">
        <v>158</v>
      </c>
      <c r="I34">
        <v>159.9</v>
      </c>
      <c r="J34">
        <v>170.8</v>
      </c>
      <c r="K34">
        <v>121.8</v>
      </c>
      <c r="L34">
        <v>205.2</v>
      </c>
      <c r="M34">
        <v>171</v>
      </c>
      <c r="N34">
        <v>190.3</v>
      </c>
      <c r="O34">
        <v>175.9</v>
      </c>
      <c r="P34">
        <v>2283.4</v>
      </c>
      <c r="Q34" s="38">
        <v>-5.83420411006622E-3</v>
      </c>
      <c r="R34" s="40"/>
    </row>
    <row r="35" spans="1:18" x14ac:dyDescent="0.25">
      <c r="A35" s="25" t="s">
        <v>34</v>
      </c>
      <c r="B35" s="42">
        <v>44927</v>
      </c>
      <c r="C35">
        <v>173.8</v>
      </c>
      <c r="D35">
        <v>210.7</v>
      </c>
      <c r="E35">
        <v>194.5</v>
      </c>
      <c r="F35">
        <v>174.6</v>
      </c>
      <c r="G35">
        <v>187.2</v>
      </c>
      <c r="H35">
        <v>158.30000000000001</v>
      </c>
      <c r="I35">
        <v>153.9</v>
      </c>
      <c r="J35">
        <v>170.9</v>
      </c>
      <c r="K35">
        <v>121.1</v>
      </c>
      <c r="L35">
        <v>208.4</v>
      </c>
      <c r="M35">
        <v>171.4</v>
      </c>
      <c r="N35">
        <v>191.2</v>
      </c>
      <c r="O35">
        <v>176.7</v>
      </c>
      <c r="P35">
        <v>2292.6999999999998</v>
      </c>
      <c r="Q35" s="38">
        <v>4.0728737847068996E-3</v>
      </c>
      <c r="R35" s="40"/>
    </row>
    <row r="36" spans="1:18" x14ac:dyDescent="0.25">
      <c r="A36" s="25" t="s">
        <v>34</v>
      </c>
      <c r="B36" s="42">
        <v>44958</v>
      </c>
      <c r="C36">
        <v>174.4</v>
      </c>
      <c r="D36">
        <v>207.7</v>
      </c>
      <c r="E36">
        <v>175.2</v>
      </c>
      <c r="F36">
        <v>177.3</v>
      </c>
      <c r="G36">
        <v>179.3</v>
      </c>
      <c r="H36">
        <v>169.5</v>
      </c>
      <c r="I36">
        <v>152.69999999999999</v>
      </c>
      <c r="J36">
        <v>171</v>
      </c>
      <c r="K36">
        <v>120</v>
      </c>
      <c r="L36">
        <v>209.7</v>
      </c>
      <c r="M36">
        <v>172.3</v>
      </c>
      <c r="N36">
        <v>193</v>
      </c>
      <c r="O36">
        <v>177</v>
      </c>
      <c r="P36">
        <v>2279.1</v>
      </c>
      <c r="Q36" s="38">
        <v>-5.9318707201116202E-3</v>
      </c>
      <c r="R36" s="40"/>
    </row>
    <row r="37" spans="1:18" x14ac:dyDescent="0.25">
      <c r="A37" s="25" t="s">
        <v>34</v>
      </c>
      <c r="B37" s="42">
        <v>44986</v>
      </c>
      <c r="C37">
        <v>174.4</v>
      </c>
      <c r="D37">
        <v>207.7</v>
      </c>
      <c r="E37">
        <v>175.2</v>
      </c>
      <c r="F37">
        <v>177.3</v>
      </c>
      <c r="G37">
        <v>179.2</v>
      </c>
      <c r="H37">
        <v>169.5</v>
      </c>
      <c r="I37">
        <v>152.80000000000001</v>
      </c>
      <c r="J37">
        <v>171.1</v>
      </c>
      <c r="K37">
        <v>120</v>
      </c>
      <c r="L37">
        <v>209.7</v>
      </c>
      <c r="M37">
        <v>172.3</v>
      </c>
      <c r="N37">
        <v>193</v>
      </c>
      <c r="O37">
        <v>177</v>
      </c>
      <c r="P37">
        <v>2279.1999999999998</v>
      </c>
      <c r="Q37" s="38">
        <v>4.3876968978943E-5</v>
      </c>
      <c r="R37" s="40"/>
    </row>
    <row r="38" spans="1:18" x14ac:dyDescent="0.25">
      <c r="A38" s="25" t="s">
        <v>34</v>
      </c>
      <c r="B38" s="42">
        <v>45017</v>
      </c>
      <c r="C38">
        <v>173.8</v>
      </c>
      <c r="D38">
        <v>209.3</v>
      </c>
      <c r="E38">
        <v>169.6</v>
      </c>
      <c r="F38">
        <v>178.4</v>
      </c>
      <c r="G38">
        <v>174.9</v>
      </c>
      <c r="H38">
        <v>176.3</v>
      </c>
      <c r="I38">
        <v>155.4</v>
      </c>
      <c r="J38">
        <v>173.4</v>
      </c>
      <c r="K38">
        <v>121.3</v>
      </c>
      <c r="L38">
        <v>212.9</v>
      </c>
      <c r="M38">
        <v>172.9</v>
      </c>
      <c r="N38">
        <v>193.5</v>
      </c>
      <c r="O38">
        <v>177.9</v>
      </c>
      <c r="P38">
        <v>2289.6000000000004</v>
      </c>
      <c r="Q38" s="38">
        <v>4.5630045630047997E-3</v>
      </c>
      <c r="R38" s="40"/>
    </row>
    <row r="39" spans="1:18" x14ac:dyDescent="0.25">
      <c r="A39" s="25" t="s">
        <v>34</v>
      </c>
      <c r="B39" s="42">
        <v>45047</v>
      </c>
      <c r="C39">
        <v>173.7</v>
      </c>
      <c r="D39">
        <v>214.3</v>
      </c>
      <c r="E39">
        <v>173.2</v>
      </c>
      <c r="F39">
        <v>179.5</v>
      </c>
      <c r="G39">
        <v>170</v>
      </c>
      <c r="H39">
        <v>172.2</v>
      </c>
      <c r="I39">
        <v>161</v>
      </c>
      <c r="J39">
        <v>175.6</v>
      </c>
      <c r="K39">
        <v>122.7</v>
      </c>
      <c r="L39">
        <v>218</v>
      </c>
      <c r="M39">
        <v>173.4</v>
      </c>
      <c r="N39">
        <v>194.2</v>
      </c>
      <c r="O39">
        <v>179.1</v>
      </c>
      <c r="P39">
        <v>2306.9</v>
      </c>
      <c r="Q39" s="38">
        <v>7.5559049615652202E-3</v>
      </c>
      <c r="R39" s="40"/>
    </row>
    <row r="40" spans="1:18" x14ac:dyDescent="0.25">
      <c r="A40" s="25" t="s">
        <v>33</v>
      </c>
      <c r="B40" s="42">
        <v>44713</v>
      </c>
      <c r="C40">
        <v>157.5</v>
      </c>
      <c r="D40">
        <v>223.4</v>
      </c>
      <c r="E40">
        <v>172.8</v>
      </c>
      <c r="F40">
        <v>166.4</v>
      </c>
      <c r="G40">
        <v>188.6</v>
      </c>
      <c r="H40">
        <v>174.1</v>
      </c>
      <c r="I40">
        <v>211.5</v>
      </c>
      <c r="J40">
        <v>163.6</v>
      </c>
      <c r="K40">
        <v>121.4</v>
      </c>
      <c r="L40">
        <v>183.5</v>
      </c>
      <c r="M40">
        <v>159.1</v>
      </c>
      <c r="N40">
        <v>186.3</v>
      </c>
      <c r="O40">
        <v>179.3</v>
      </c>
      <c r="P40">
        <v>2287.5</v>
      </c>
      <c r="Q40" s="38">
        <v>1.11838033772433E-2</v>
      </c>
      <c r="R40" s="40"/>
    </row>
    <row r="41" spans="1:18" x14ac:dyDescent="0.25">
      <c r="A41" s="25" t="s">
        <v>33</v>
      </c>
      <c r="B41" s="42">
        <v>44743</v>
      </c>
      <c r="C41">
        <v>159.30000000000001</v>
      </c>
      <c r="D41">
        <v>217.1</v>
      </c>
      <c r="E41">
        <v>176.6</v>
      </c>
      <c r="F41">
        <v>167.1</v>
      </c>
      <c r="G41">
        <v>184.8</v>
      </c>
      <c r="H41">
        <v>179.5</v>
      </c>
      <c r="I41">
        <v>208.5</v>
      </c>
      <c r="J41">
        <v>164</v>
      </c>
      <c r="K41">
        <v>121.5</v>
      </c>
      <c r="L41">
        <v>186.3</v>
      </c>
      <c r="M41">
        <v>159.80000000000001</v>
      </c>
      <c r="N41">
        <v>187.7</v>
      </c>
      <c r="O41">
        <v>179.4</v>
      </c>
      <c r="P41">
        <v>2291.6</v>
      </c>
      <c r="Q41" s="38">
        <v>1.79234972677592E-3</v>
      </c>
      <c r="R41" s="40"/>
    </row>
    <row r="42" spans="1:18" x14ac:dyDescent="0.25">
      <c r="A42" s="25" t="s">
        <v>33</v>
      </c>
      <c r="B42" s="42">
        <v>44774</v>
      </c>
      <c r="C42">
        <v>162.1</v>
      </c>
      <c r="D42">
        <v>210.9</v>
      </c>
      <c r="E42">
        <v>170.6</v>
      </c>
      <c r="F42">
        <v>168.4</v>
      </c>
      <c r="G42">
        <v>182.5</v>
      </c>
      <c r="H42">
        <v>177.1</v>
      </c>
      <c r="I42">
        <v>213.1</v>
      </c>
      <c r="J42">
        <v>167.3</v>
      </c>
      <c r="K42">
        <v>122.2</v>
      </c>
      <c r="L42">
        <v>189.7</v>
      </c>
      <c r="M42">
        <v>160.5</v>
      </c>
      <c r="N42">
        <v>188.9</v>
      </c>
      <c r="O42">
        <v>180.4</v>
      </c>
      <c r="P42">
        <v>2293.6999999999998</v>
      </c>
      <c r="Q42" s="38">
        <v>9.1639029499036005E-4</v>
      </c>
      <c r="R42" s="40"/>
    </row>
    <row r="43" spans="1:18" x14ac:dyDescent="0.25">
      <c r="A43" s="25" t="s">
        <v>33</v>
      </c>
      <c r="B43" s="42">
        <v>44805</v>
      </c>
      <c r="C43">
        <v>164.9</v>
      </c>
      <c r="D43">
        <v>213.7</v>
      </c>
      <c r="E43">
        <v>170.9</v>
      </c>
      <c r="F43">
        <v>170.1</v>
      </c>
      <c r="G43">
        <v>179.3</v>
      </c>
      <c r="H43">
        <v>167.5</v>
      </c>
      <c r="I43">
        <v>220.8</v>
      </c>
      <c r="J43">
        <v>169.2</v>
      </c>
      <c r="K43">
        <v>123.1</v>
      </c>
      <c r="L43">
        <v>193.6</v>
      </c>
      <c r="M43">
        <v>161.1</v>
      </c>
      <c r="N43">
        <v>190.4</v>
      </c>
      <c r="O43">
        <v>181.8</v>
      </c>
      <c r="P43">
        <v>2306.4</v>
      </c>
      <c r="Q43" s="38">
        <v>5.5369054366308902E-3</v>
      </c>
      <c r="R43" s="40"/>
    </row>
    <row r="44" spans="1:18" x14ac:dyDescent="0.25">
      <c r="A44" s="25" t="s">
        <v>33</v>
      </c>
      <c r="B44" s="42">
        <v>44835</v>
      </c>
      <c r="C44">
        <v>166.4</v>
      </c>
      <c r="D44">
        <v>214.9</v>
      </c>
      <c r="E44">
        <v>171.9</v>
      </c>
      <c r="F44">
        <v>171</v>
      </c>
      <c r="G44">
        <v>177.7</v>
      </c>
      <c r="H44">
        <v>165.7</v>
      </c>
      <c r="I44">
        <v>228.6</v>
      </c>
      <c r="J44">
        <v>169.9</v>
      </c>
      <c r="K44">
        <v>123.4</v>
      </c>
      <c r="L44">
        <v>196.4</v>
      </c>
      <c r="M44">
        <v>161.6</v>
      </c>
      <c r="N44">
        <v>191.5</v>
      </c>
      <c r="O44">
        <v>183.3</v>
      </c>
      <c r="P44">
        <v>2322.3000000000002</v>
      </c>
      <c r="Q44" s="38">
        <v>6.89386056191471E-3</v>
      </c>
      <c r="R44" s="40"/>
    </row>
    <row r="45" spans="1:18" x14ac:dyDescent="0.25">
      <c r="A45" s="25" t="s">
        <v>33</v>
      </c>
      <c r="B45" s="42">
        <v>44866</v>
      </c>
      <c r="C45">
        <v>168.4</v>
      </c>
      <c r="D45">
        <v>213.4</v>
      </c>
      <c r="E45">
        <v>183.2</v>
      </c>
      <c r="F45">
        <v>172.3</v>
      </c>
      <c r="G45">
        <v>180</v>
      </c>
      <c r="H45">
        <v>162.6</v>
      </c>
      <c r="I45">
        <v>205.5</v>
      </c>
      <c r="J45">
        <v>171</v>
      </c>
      <c r="K45">
        <v>123.4</v>
      </c>
      <c r="L45">
        <v>198.8</v>
      </c>
      <c r="M45">
        <v>162.1</v>
      </c>
      <c r="N45">
        <v>192.4</v>
      </c>
      <c r="O45">
        <v>181.3</v>
      </c>
      <c r="P45">
        <v>2314.4</v>
      </c>
      <c r="Q45" s="38">
        <v>-3.4017999397149799E-3</v>
      </c>
      <c r="R45" s="40"/>
    </row>
    <row r="46" spans="1:18" x14ac:dyDescent="0.25">
      <c r="A46" s="25" t="s">
        <v>33</v>
      </c>
      <c r="B46" s="42">
        <v>44896</v>
      </c>
      <c r="C46">
        <v>170.2</v>
      </c>
      <c r="D46">
        <v>212.9</v>
      </c>
      <c r="E46">
        <v>191.9</v>
      </c>
      <c r="F46">
        <v>173.9</v>
      </c>
      <c r="G46">
        <v>179.1</v>
      </c>
      <c r="H46">
        <v>159.5</v>
      </c>
      <c r="I46">
        <v>178.7</v>
      </c>
      <c r="J46">
        <v>171.3</v>
      </c>
      <c r="K46">
        <v>123.1</v>
      </c>
      <c r="L46">
        <v>200.5</v>
      </c>
      <c r="M46">
        <v>162.80000000000001</v>
      </c>
      <c r="N46">
        <v>193.3</v>
      </c>
      <c r="O46">
        <v>178.6</v>
      </c>
      <c r="P46">
        <v>2295.7999999999997</v>
      </c>
      <c r="Q46" s="38">
        <v>-8.0366401659178899E-3</v>
      </c>
      <c r="R46" s="40"/>
    </row>
    <row r="47" spans="1:18" x14ac:dyDescent="0.25">
      <c r="A47" s="25" t="s">
        <v>33</v>
      </c>
      <c r="B47" s="42">
        <v>44927</v>
      </c>
      <c r="C47">
        <v>173.3</v>
      </c>
      <c r="D47">
        <v>215.2</v>
      </c>
      <c r="E47">
        <v>197</v>
      </c>
      <c r="F47">
        <v>175.2</v>
      </c>
      <c r="G47">
        <v>178</v>
      </c>
      <c r="H47">
        <v>160.5</v>
      </c>
      <c r="I47">
        <v>175.3</v>
      </c>
      <c r="J47">
        <v>171.2</v>
      </c>
      <c r="K47">
        <v>122.7</v>
      </c>
      <c r="L47">
        <v>204.3</v>
      </c>
      <c r="M47">
        <v>163.69999999999999</v>
      </c>
      <c r="N47">
        <v>194.3</v>
      </c>
      <c r="O47">
        <v>179.5</v>
      </c>
      <c r="P47">
        <v>2310.2000000000003</v>
      </c>
      <c r="Q47" s="38">
        <v>6.2723233731163596E-3</v>
      </c>
      <c r="R47" s="40"/>
    </row>
    <row r="48" spans="1:18" x14ac:dyDescent="0.25">
      <c r="A48" s="25" t="s">
        <v>33</v>
      </c>
      <c r="B48" s="42">
        <v>44958</v>
      </c>
      <c r="C48">
        <v>174.7</v>
      </c>
      <c r="D48">
        <v>212.2</v>
      </c>
      <c r="E48">
        <v>177.2</v>
      </c>
      <c r="F48">
        <v>177.9</v>
      </c>
      <c r="G48">
        <v>172.2</v>
      </c>
      <c r="H48">
        <v>172.1</v>
      </c>
      <c r="I48">
        <v>175.8</v>
      </c>
      <c r="J48">
        <v>172.2</v>
      </c>
      <c r="K48">
        <v>121.9</v>
      </c>
      <c r="L48">
        <v>204.8</v>
      </c>
      <c r="M48">
        <v>164.9</v>
      </c>
      <c r="N48">
        <v>196.6</v>
      </c>
      <c r="O48">
        <v>180.7</v>
      </c>
      <c r="P48">
        <v>2303.1999999999998</v>
      </c>
      <c r="Q48" s="38">
        <v>-3.0300406891180199E-3</v>
      </c>
      <c r="R48" s="40"/>
    </row>
    <row r="49" spans="1:18" x14ac:dyDescent="0.25">
      <c r="A49" s="25" t="s">
        <v>33</v>
      </c>
      <c r="B49" s="42">
        <v>44986</v>
      </c>
      <c r="C49">
        <v>174.7</v>
      </c>
      <c r="D49">
        <v>212.2</v>
      </c>
      <c r="E49">
        <v>177.2</v>
      </c>
      <c r="F49">
        <v>177.9</v>
      </c>
      <c r="G49">
        <v>172.2</v>
      </c>
      <c r="H49">
        <v>172.1</v>
      </c>
      <c r="I49">
        <v>175.9</v>
      </c>
      <c r="J49">
        <v>172.2</v>
      </c>
      <c r="K49">
        <v>121.9</v>
      </c>
      <c r="L49">
        <v>204.8</v>
      </c>
      <c r="M49">
        <v>164.9</v>
      </c>
      <c r="N49">
        <v>196.6</v>
      </c>
      <c r="O49">
        <v>180.8</v>
      </c>
      <c r="P49">
        <v>2303.4</v>
      </c>
      <c r="Q49" s="38">
        <v>8.6835706842772198E-5</v>
      </c>
      <c r="R49" s="40"/>
    </row>
    <row r="50" spans="1:18" x14ac:dyDescent="0.25">
      <c r="A50" s="25" t="s">
        <v>33</v>
      </c>
      <c r="B50" s="42">
        <v>45017</v>
      </c>
      <c r="C50">
        <v>174.8</v>
      </c>
      <c r="D50">
        <v>213.7</v>
      </c>
      <c r="E50">
        <v>172.4</v>
      </c>
      <c r="F50">
        <v>178.8</v>
      </c>
      <c r="G50">
        <v>168.7</v>
      </c>
      <c r="H50">
        <v>179.2</v>
      </c>
      <c r="I50">
        <v>179.9</v>
      </c>
      <c r="J50">
        <v>174.7</v>
      </c>
      <c r="K50">
        <v>123.1</v>
      </c>
      <c r="L50">
        <v>207.8</v>
      </c>
      <c r="M50">
        <v>165.5</v>
      </c>
      <c r="N50">
        <v>197</v>
      </c>
      <c r="O50">
        <v>182.1</v>
      </c>
      <c r="P50">
        <v>2317.7000000000003</v>
      </c>
      <c r="Q50" s="38">
        <v>6.2082139446037101E-3</v>
      </c>
      <c r="R50" s="40"/>
    </row>
    <row r="51" spans="1:18" x14ac:dyDescent="0.25">
      <c r="A51" s="25" t="s">
        <v>33</v>
      </c>
      <c r="B51" s="42">
        <v>45047</v>
      </c>
      <c r="C51">
        <v>174.7</v>
      </c>
      <c r="D51">
        <v>219.4</v>
      </c>
      <c r="E51">
        <v>176.7</v>
      </c>
      <c r="F51">
        <v>179.4</v>
      </c>
      <c r="G51">
        <v>164.4</v>
      </c>
      <c r="H51">
        <v>175.8</v>
      </c>
      <c r="I51">
        <v>185</v>
      </c>
      <c r="J51">
        <v>176.9</v>
      </c>
      <c r="K51">
        <v>124.2</v>
      </c>
      <c r="L51">
        <v>211.9</v>
      </c>
      <c r="M51">
        <v>165.9</v>
      </c>
      <c r="N51">
        <v>197.7</v>
      </c>
      <c r="O51">
        <v>183.1</v>
      </c>
      <c r="P51">
        <v>2335.1</v>
      </c>
      <c r="Q51" s="38">
        <v>7.5074427233894096E-3</v>
      </c>
      <c r="R51" s="40"/>
    </row>
    <row r="57" spans="1:18" x14ac:dyDescent="0.25">
      <c r="B57" s="36" t="s">
        <v>0</v>
      </c>
      <c r="C57" t="s">
        <v>30</v>
      </c>
    </row>
    <row r="59" spans="1:18" x14ac:dyDescent="0.25">
      <c r="B59" s="36" t="s">
        <v>74</v>
      </c>
      <c r="C59" t="s">
        <v>78</v>
      </c>
    </row>
    <row r="60" spans="1:18" x14ac:dyDescent="0.25">
      <c r="B60" s="43">
        <v>44713</v>
      </c>
      <c r="C60" s="38">
        <v>9.6551104724268005E-3</v>
      </c>
    </row>
    <row r="61" spans="1:18" x14ac:dyDescent="0.25">
      <c r="B61" s="43">
        <v>44743</v>
      </c>
      <c r="C61" s="38">
        <v>1.86807810345586E-3</v>
      </c>
    </row>
    <row r="62" spans="1:18" x14ac:dyDescent="0.25">
      <c r="B62" s="43">
        <v>44774</v>
      </c>
      <c r="C62" s="38">
        <v>1.46503884572685E-3</v>
      </c>
    </row>
    <row r="63" spans="1:18" x14ac:dyDescent="0.25">
      <c r="B63" s="43">
        <v>44805</v>
      </c>
      <c r="C63" s="38">
        <v>5.3196205337354601E-3</v>
      </c>
    </row>
    <row r="64" spans="1:18" x14ac:dyDescent="0.25">
      <c r="B64" s="43">
        <v>44835</v>
      </c>
      <c r="C64" s="38">
        <v>7.3639650762853098E-3</v>
      </c>
    </row>
    <row r="65" spans="2:21" x14ac:dyDescent="0.25">
      <c r="B65" s="43">
        <v>44866</v>
      </c>
      <c r="C65" s="38">
        <v>1.4007441453271301E-3</v>
      </c>
    </row>
    <row r="66" spans="2:21" x14ac:dyDescent="0.25">
      <c r="B66" s="43">
        <v>44896</v>
      </c>
      <c r="C66" s="38">
        <v>-4.6334746688813698E-3</v>
      </c>
    </row>
    <row r="67" spans="2:21" x14ac:dyDescent="0.25">
      <c r="B67" s="43">
        <v>44927</v>
      </c>
      <c r="C67" s="38">
        <v>2.6788459004876198E-3</v>
      </c>
    </row>
    <row r="68" spans="2:21" x14ac:dyDescent="0.25">
      <c r="B68" s="43">
        <v>44958</v>
      </c>
      <c r="C68" s="38">
        <v>-7.6646811492643904E-3</v>
      </c>
    </row>
    <row r="69" spans="2:21" x14ac:dyDescent="0.25">
      <c r="B69" s="43">
        <v>44986</v>
      </c>
      <c r="C69" s="38">
        <v>4.4136469965292803E-5</v>
      </c>
    </row>
    <row r="70" spans="2:21" x14ac:dyDescent="0.25">
      <c r="B70" s="43">
        <v>45017</v>
      </c>
      <c r="C70" s="38">
        <v>3.70729984994246E-3</v>
      </c>
    </row>
    <row r="71" spans="2:21" x14ac:dyDescent="0.25">
      <c r="B71" s="43">
        <v>45047</v>
      </c>
      <c r="C71" s="38">
        <v>7.2552985665292899E-3</v>
      </c>
    </row>
    <row r="73" spans="2:21" x14ac:dyDescent="0.25">
      <c r="R73"/>
      <c r="U73" s="38"/>
    </row>
    <row r="74" spans="2:21" x14ac:dyDescent="0.25">
      <c r="R74"/>
      <c r="U74" s="38"/>
    </row>
    <row r="75" spans="2:21" x14ac:dyDescent="0.25">
      <c r="R75"/>
      <c r="U75" s="38"/>
    </row>
    <row r="76" spans="2:21" x14ac:dyDescent="0.25">
      <c r="R76"/>
      <c r="U76" s="38"/>
    </row>
    <row r="85" spans="1:11" ht="15" customHeight="1" x14ac:dyDescent="0.25">
      <c r="D85" s="119" t="s">
        <v>84</v>
      </c>
      <c r="E85" s="119"/>
      <c r="F85" s="119"/>
      <c r="G85" s="119"/>
      <c r="H85" s="119"/>
      <c r="I85" s="119"/>
      <c r="J85" s="119"/>
      <c r="K85" s="119"/>
    </row>
    <row r="86" spans="1:11" ht="15" customHeight="1" x14ac:dyDescent="0.25">
      <c r="D86" s="119"/>
      <c r="E86" s="119"/>
      <c r="F86" s="119"/>
      <c r="G86" s="119"/>
      <c r="H86" s="119"/>
      <c r="I86" s="119"/>
      <c r="J86" s="119"/>
      <c r="K86" s="119"/>
    </row>
    <row r="87" spans="1:11" ht="15" customHeight="1" x14ac:dyDescent="0.25">
      <c r="D87" s="119"/>
      <c r="E87" s="119"/>
      <c r="F87" s="119"/>
      <c r="G87" s="119"/>
      <c r="H87" s="119"/>
      <c r="I87" s="119"/>
      <c r="J87" s="119"/>
      <c r="K87" s="119"/>
    </row>
    <row r="88" spans="1:11" ht="15" customHeight="1" x14ac:dyDescent="0.25">
      <c r="D88" s="119"/>
      <c r="E88" s="119"/>
      <c r="F88" s="119"/>
      <c r="G88" s="119"/>
      <c r="H88" s="119"/>
      <c r="I88" s="119"/>
      <c r="J88" s="119"/>
      <c r="K88" s="119"/>
    </row>
    <row r="89" spans="1:11" ht="15" customHeight="1" x14ac:dyDescent="0.25">
      <c r="E89" s="46"/>
      <c r="F89" s="46"/>
      <c r="G89" s="46"/>
      <c r="H89" s="46"/>
      <c r="I89" s="46"/>
      <c r="J89" s="46"/>
      <c r="K89" s="46"/>
    </row>
    <row r="90" spans="1:11" ht="14.25" customHeight="1" x14ac:dyDescent="0.25">
      <c r="E90" s="46"/>
      <c r="F90" s="46"/>
      <c r="G90" s="46"/>
      <c r="H90" s="46"/>
      <c r="I90" s="46"/>
      <c r="J90" s="46"/>
      <c r="K90" s="46"/>
    </row>
    <row r="91" spans="1:11" ht="14.25" customHeight="1" x14ac:dyDescent="0.25">
      <c r="E91" s="46"/>
      <c r="F91" s="46"/>
      <c r="G91" s="46"/>
      <c r="H91" s="46"/>
      <c r="I91" s="46"/>
      <c r="J91" s="46"/>
      <c r="K91" s="46"/>
    </row>
    <row r="92" spans="1:11" ht="14.25" customHeight="1" x14ac:dyDescent="0.25">
      <c r="A92" t="s">
        <v>0</v>
      </c>
      <c r="B92" s="2" t="s">
        <v>79</v>
      </c>
      <c r="C92" s="44" t="s">
        <v>80</v>
      </c>
      <c r="D92" s="44" t="s">
        <v>81</v>
      </c>
      <c r="E92" t="s">
        <v>63</v>
      </c>
      <c r="F92" s="46"/>
      <c r="G92" s="46"/>
      <c r="H92" s="46"/>
      <c r="I92" s="46"/>
      <c r="J92" s="46"/>
      <c r="K92" s="46"/>
    </row>
    <row r="93" spans="1:11" x14ac:dyDescent="0.25">
      <c r="A93" s="25" t="s">
        <v>30</v>
      </c>
      <c r="B93" s="45" t="s">
        <v>3</v>
      </c>
      <c r="C93">
        <v>153.80000000000001</v>
      </c>
      <c r="D93">
        <v>173.2</v>
      </c>
      <c r="E93">
        <v>19.399999999999977</v>
      </c>
    </row>
    <row r="94" spans="1:11" x14ac:dyDescent="0.25">
      <c r="A94" s="25" t="s">
        <v>30</v>
      </c>
      <c r="B94" s="45" t="s">
        <v>5</v>
      </c>
      <c r="C94">
        <v>169.6</v>
      </c>
      <c r="D94">
        <v>171</v>
      </c>
      <c r="E94">
        <v>1.4000000000000057</v>
      </c>
    </row>
    <row r="95" spans="1:11" x14ac:dyDescent="0.25">
      <c r="A95" s="25" t="s">
        <v>30</v>
      </c>
      <c r="B95" s="45" t="s">
        <v>15</v>
      </c>
      <c r="C95">
        <v>172.4</v>
      </c>
      <c r="D95">
        <v>176.8</v>
      </c>
      <c r="E95">
        <v>4.4000000000000057</v>
      </c>
    </row>
    <row r="96" spans="1:11" x14ac:dyDescent="0.25">
      <c r="A96" s="25" t="s">
        <v>30</v>
      </c>
      <c r="B96" s="45" t="s">
        <v>8</v>
      </c>
      <c r="C96">
        <v>165.8</v>
      </c>
      <c r="D96">
        <v>169</v>
      </c>
      <c r="E96">
        <v>3.1999999999999886</v>
      </c>
    </row>
    <row r="97" spans="1:8" x14ac:dyDescent="0.25">
      <c r="A97" s="25" t="s">
        <v>30</v>
      </c>
      <c r="B97" s="45" t="s">
        <v>4</v>
      </c>
      <c r="C97">
        <v>217.2</v>
      </c>
      <c r="D97">
        <v>211.5</v>
      </c>
      <c r="E97">
        <v>-5.6999999999999886</v>
      </c>
    </row>
    <row r="98" spans="1:8" x14ac:dyDescent="0.25">
      <c r="A98" s="25" t="s">
        <v>30</v>
      </c>
      <c r="B98" s="45" t="s">
        <v>6</v>
      </c>
      <c r="C98">
        <v>165.4</v>
      </c>
      <c r="D98">
        <v>179.6</v>
      </c>
      <c r="E98">
        <v>14.199999999999989</v>
      </c>
      <c r="G98" s="36" t="s">
        <v>0</v>
      </c>
      <c r="H98" t="s">
        <v>30</v>
      </c>
    </row>
    <row r="99" spans="1:8" x14ac:dyDescent="0.25">
      <c r="A99" s="25" t="s">
        <v>30</v>
      </c>
      <c r="B99" s="45" t="s">
        <v>13</v>
      </c>
      <c r="C99">
        <v>174.2</v>
      </c>
      <c r="D99">
        <v>178.7</v>
      </c>
      <c r="E99">
        <v>4.5</v>
      </c>
    </row>
    <row r="100" spans="1:8" x14ac:dyDescent="0.25">
      <c r="A100" s="25" t="s">
        <v>30</v>
      </c>
      <c r="B100" s="45" t="s">
        <v>7</v>
      </c>
      <c r="C100">
        <v>208.1</v>
      </c>
      <c r="D100">
        <v>173.3</v>
      </c>
      <c r="E100">
        <v>-34.799999999999983</v>
      </c>
      <c r="G100" s="36" t="s">
        <v>74</v>
      </c>
      <c r="H100" t="s">
        <v>82</v>
      </c>
    </row>
    <row r="101" spans="1:8" x14ac:dyDescent="0.25">
      <c r="A101" s="25" t="s">
        <v>30</v>
      </c>
      <c r="B101" s="45" t="s">
        <v>14</v>
      </c>
      <c r="C101">
        <v>181.9</v>
      </c>
      <c r="D101">
        <v>191.1</v>
      </c>
      <c r="E101">
        <v>9.1999999999999886</v>
      </c>
      <c r="G101" s="37" t="s">
        <v>3</v>
      </c>
      <c r="H101" s="25">
        <v>19.399999999999977</v>
      </c>
    </row>
    <row r="102" spans="1:8" x14ac:dyDescent="0.25">
      <c r="A102" s="25" t="s">
        <v>30</v>
      </c>
      <c r="B102" s="45" t="s">
        <v>10</v>
      </c>
      <c r="C102">
        <v>164.6</v>
      </c>
      <c r="D102">
        <v>174.9</v>
      </c>
      <c r="E102">
        <v>10.300000000000011</v>
      </c>
      <c r="G102" s="37" t="s">
        <v>5</v>
      </c>
      <c r="H102" s="25">
        <v>1.4000000000000057</v>
      </c>
    </row>
    <row r="103" spans="1:8" x14ac:dyDescent="0.25">
      <c r="A103" s="25" t="s">
        <v>30</v>
      </c>
      <c r="B103" s="45" t="s">
        <v>12</v>
      </c>
      <c r="C103">
        <v>188.9</v>
      </c>
      <c r="D103">
        <v>221</v>
      </c>
      <c r="E103">
        <v>32.099999999999994</v>
      </c>
      <c r="G103" s="37" t="s">
        <v>15</v>
      </c>
      <c r="H103" s="25">
        <v>4.4000000000000057</v>
      </c>
    </row>
    <row r="104" spans="1:8" x14ac:dyDescent="0.25">
      <c r="A104" s="25" t="s">
        <v>30</v>
      </c>
      <c r="B104" s="45" t="s">
        <v>11</v>
      </c>
      <c r="C104">
        <v>119.1</v>
      </c>
      <c r="D104">
        <v>121.9</v>
      </c>
      <c r="E104">
        <v>2.8000000000000114</v>
      </c>
      <c r="G104" s="37" t="s">
        <v>8</v>
      </c>
      <c r="H104" s="25">
        <v>3.1999999999999886</v>
      </c>
    </row>
    <row r="105" spans="1:8" x14ac:dyDescent="0.25">
      <c r="A105" s="25" t="s">
        <v>30</v>
      </c>
      <c r="B105" s="45" t="s">
        <v>9</v>
      </c>
      <c r="C105">
        <v>167.3</v>
      </c>
      <c r="D105">
        <v>148.69999999999999</v>
      </c>
      <c r="E105">
        <v>-18.600000000000023</v>
      </c>
      <c r="G105" s="37" t="s">
        <v>4</v>
      </c>
      <c r="H105" s="25">
        <v>-5.6999999999999886</v>
      </c>
    </row>
    <row r="106" spans="1:8" x14ac:dyDescent="0.25">
      <c r="A106" s="25" t="s">
        <v>34</v>
      </c>
      <c r="B106" s="25" t="s">
        <v>3</v>
      </c>
      <c r="C106">
        <v>155</v>
      </c>
      <c r="D106">
        <v>173.7</v>
      </c>
      <c r="E106">
        <v>18.699999999999989</v>
      </c>
      <c r="G106" s="37" t="s">
        <v>6</v>
      </c>
      <c r="H106" s="25">
        <v>14.199999999999989</v>
      </c>
    </row>
    <row r="107" spans="1:8" x14ac:dyDescent="0.25">
      <c r="A107" s="25" t="s">
        <v>34</v>
      </c>
      <c r="B107" s="25" t="s">
        <v>5</v>
      </c>
      <c r="C107">
        <v>170.8</v>
      </c>
      <c r="D107">
        <v>173.2</v>
      </c>
      <c r="E107">
        <v>2.3999999999999773</v>
      </c>
      <c r="G107" s="37" t="s">
        <v>13</v>
      </c>
      <c r="H107" s="25">
        <v>4.5</v>
      </c>
    </row>
    <row r="108" spans="1:8" x14ac:dyDescent="0.25">
      <c r="A108" s="25" t="s">
        <v>34</v>
      </c>
      <c r="B108" s="25" t="s">
        <v>15</v>
      </c>
      <c r="C108">
        <v>174.9</v>
      </c>
      <c r="D108">
        <v>179.1</v>
      </c>
      <c r="E108">
        <v>4.1999999999999886</v>
      </c>
      <c r="G108" s="37" t="s">
        <v>7</v>
      </c>
      <c r="H108" s="25">
        <v>-34.799999999999983</v>
      </c>
    </row>
    <row r="109" spans="1:8" x14ac:dyDescent="0.25">
      <c r="A109" s="25" t="s">
        <v>34</v>
      </c>
      <c r="B109" s="25" t="s">
        <v>8</v>
      </c>
      <c r="C109">
        <v>169.7</v>
      </c>
      <c r="D109">
        <v>172.2</v>
      </c>
      <c r="E109">
        <v>2.5</v>
      </c>
      <c r="G109" s="37" t="s">
        <v>14</v>
      </c>
      <c r="H109" s="25">
        <v>9.1999999999999886</v>
      </c>
    </row>
    <row r="110" spans="1:8" x14ac:dyDescent="0.25">
      <c r="A110" s="25" t="s">
        <v>34</v>
      </c>
      <c r="B110" s="25" t="s">
        <v>4</v>
      </c>
      <c r="C110">
        <v>219.4</v>
      </c>
      <c r="D110">
        <v>214.3</v>
      </c>
      <c r="E110">
        <v>-5.0999999999999943</v>
      </c>
      <c r="G110" s="37" t="s">
        <v>10</v>
      </c>
      <c r="H110" s="25">
        <v>10.300000000000011</v>
      </c>
    </row>
    <row r="111" spans="1:8" x14ac:dyDescent="0.25">
      <c r="A111" s="25" t="s">
        <v>34</v>
      </c>
      <c r="B111" s="25" t="s">
        <v>6</v>
      </c>
      <c r="C111">
        <v>165.8</v>
      </c>
      <c r="D111">
        <v>179.5</v>
      </c>
      <c r="E111">
        <v>13.699999999999989</v>
      </c>
      <c r="G111" s="37" t="s">
        <v>12</v>
      </c>
      <c r="H111" s="25">
        <v>32.099999999999994</v>
      </c>
    </row>
    <row r="112" spans="1:8" x14ac:dyDescent="0.25">
      <c r="A112" s="25" t="s">
        <v>34</v>
      </c>
      <c r="B112" s="25" t="s">
        <v>13</v>
      </c>
      <c r="C112">
        <v>167.9</v>
      </c>
      <c r="D112">
        <v>173.4</v>
      </c>
      <c r="E112">
        <v>5.5</v>
      </c>
      <c r="G112" s="37" t="s">
        <v>11</v>
      </c>
      <c r="H112" s="25">
        <v>2.8000000000000114</v>
      </c>
    </row>
    <row r="113" spans="1:8" x14ac:dyDescent="0.25">
      <c r="A113" s="25" t="s">
        <v>34</v>
      </c>
      <c r="B113" s="25" t="s">
        <v>7</v>
      </c>
      <c r="C113">
        <v>200.9</v>
      </c>
      <c r="D113">
        <v>170</v>
      </c>
      <c r="E113">
        <v>-30.900000000000006</v>
      </c>
      <c r="G113" s="37" t="s">
        <v>9</v>
      </c>
      <c r="H113" s="25">
        <v>-18.600000000000023</v>
      </c>
    </row>
    <row r="114" spans="1:8" x14ac:dyDescent="0.25">
      <c r="A114" s="25" t="s">
        <v>34</v>
      </c>
      <c r="B114" s="25" t="s">
        <v>14</v>
      </c>
      <c r="C114">
        <v>183.9</v>
      </c>
      <c r="D114">
        <v>194.2</v>
      </c>
      <c r="E114">
        <v>10.299999999999983</v>
      </c>
    </row>
    <row r="115" spans="1:8" x14ac:dyDescent="0.25">
      <c r="A115" s="25" t="s">
        <v>34</v>
      </c>
      <c r="B115" s="25" t="s">
        <v>10</v>
      </c>
      <c r="C115">
        <v>164.3</v>
      </c>
      <c r="D115">
        <v>175.6</v>
      </c>
      <c r="E115">
        <v>11.299999999999983</v>
      </c>
    </row>
    <row r="116" spans="1:8" x14ac:dyDescent="0.25">
      <c r="A116" s="25" t="s">
        <v>34</v>
      </c>
      <c r="B116" s="25" t="s">
        <v>12</v>
      </c>
      <c r="C116">
        <v>187.1</v>
      </c>
      <c r="D116">
        <v>218</v>
      </c>
      <c r="E116">
        <v>30.900000000000006</v>
      </c>
    </row>
    <row r="117" spans="1:8" x14ac:dyDescent="0.25">
      <c r="A117" s="25" t="s">
        <v>34</v>
      </c>
      <c r="B117" s="25" t="s">
        <v>11</v>
      </c>
      <c r="C117">
        <v>119.9</v>
      </c>
      <c r="D117">
        <v>122.7</v>
      </c>
      <c r="E117">
        <v>2.7999999999999972</v>
      </c>
    </row>
    <row r="118" spans="1:8" x14ac:dyDescent="0.25">
      <c r="A118" s="25" t="s">
        <v>34</v>
      </c>
      <c r="B118" s="25" t="s">
        <v>9</v>
      </c>
      <c r="C118">
        <v>182.3</v>
      </c>
      <c r="D118">
        <v>161</v>
      </c>
      <c r="E118">
        <v>-21.300000000000011</v>
      </c>
    </row>
    <row r="119" spans="1:8" x14ac:dyDescent="0.25">
      <c r="A119" s="25" t="s">
        <v>33</v>
      </c>
      <c r="B119" s="25" t="s">
        <v>3</v>
      </c>
      <c r="C119">
        <v>157.5</v>
      </c>
      <c r="D119">
        <v>174.7</v>
      </c>
      <c r="E119">
        <v>17.199999999999989</v>
      </c>
    </row>
    <row r="120" spans="1:8" x14ac:dyDescent="0.25">
      <c r="A120" s="25" t="s">
        <v>33</v>
      </c>
      <c r="B120" s="25" t="s">
        <v>5</v>
      </c>
      <c r="C120">
        <v>172.8</v>
      </c>
      <c r="D120">
        <v>176.7</v>
      </c>
      <c r="E120">
        <v>3.8999999999999773</v>
      </c>
    </row>
    <row r="121" spans="1:8" x14ac:dyDescent="0.25">
      <c r="A121" s="25" t="s">
        <v>33</v>
      </c>
      <c r="B121" s="25" t="s">
        <v>15</v>
      </c>
      <c r="C121">
        <v>179.3</v>
      </c>
      <c r="D121">
        <v>183.1</v>
      </c>
      <c r="E121">
        <v>3.7999999999999829</v>
      </c>
    </row>
    <row r="122" spans="1:8" x14ac:dyDescent="0.25">
      <c r="A122" s="25" t="s">
        <v>33</v>
      </c>
      <c r="B122" s="25" t="s">
        <v>8</v>
      </c>
      <c r="C122">
        <v>174.1</v>
      </c>
      <c r="D122">
        <v>175.8</v>
      </c>
      <c r="E122">
        <v>1.7000000000000171</v>
      </c>
    </row>
    <row r="123" spans="1:8" x14ac:dyDescent="0.25">
      <c r="A123" s="25" t="s">
        <v>33</v>
      </c>
      <c r="B123" s="25" t="s">
        <v>4</v>
      </c>
      <c r="C123">
        <v>223.4</v>
      </c>
      <c r="D123">
        <v>219.4</v>
      </c>
      <c r="E123">
        <v>-4</v>
      </c>
    </row>
    <row r="124" spans="1:8" x14ac:dyDescent="0.25">
      <c r="A124" s="25" t="s">
        <v>33</v>
      </c>
      <c r="B124" s="25" t="s">
        <v>6</v>
      </c>
      <c r="C124">
        <v>166.4</v>
      </c>
      <c r="D124">
        <v>179.4</v>
      </c>
      <c r="E124">
        <v>13</v>
      </c>
    </row>
    <row r="125" spans="1:8" x14ac:dyDescent="0.25">
      <c r="A125" s="25" t="s">
        <v>33</v>
      </c>
      <c r="B125" s="25" t="s">
        <v>13</v>
      </c>
      <c r="C125">
        <v>159.1</v>
      </c>
      <c r="D125">
        <v>165.9</v>
      </c>
      <c r="E125">
        <v>6.8000000000000114</v>
      </c>
    </row>
    <row r="126" spans="1:8" x14ac:dyDescent="0.25">
      <c r="A126" s="25" t="s">
        <v>33</v>
      </c>
      <c r="B126" s="25" t="s">
        <v>7</v>
      </c>
      <c r="C126">
        <v>188.6</v>
      </c>
      <c r="D126">
        <v>164.4</v>
      </c>
      <c r="E126">
        <v>-24.199999999999989</v>
      </c>
    </row>
    <row r="127" spans="1:8" x14ac:dyDescent="0.25">
      <c r="A127" s="25" t="s">
        <v>33</v>
      </c>
      <c r="B127" s="25" t="s">
        <v>14</v>
      </c>
      <c r="C127">
        <v>186.3</v>
      </c>
      <c r="D127">
        <v>197.7</v>
      </c>
      <c r="E127">
        <v>11.399999999999977</v>
      </c>
    </row>
    <row r="128" spans="1:8" x14ac:dyDescent="0.25">
      <c r="A128" s="25" t="s">
        <v>33</v>
      </c>
      <c r="B128" s="25" t="s">
        <v>10</v>
      </c>
      <c r="C128">
        <v>163.6</v>
      </c>
      <c r="D128">
        <v>176.9</v>
      </c>
      <c r="E128">
        <v>13.300000000000011</v>
      </c>
    </row>
    <row r="129" spans="1:14" x14ac:dyDescent="0.25">
      <c r="A129" s="25" t="s">
        <v>33</v>
      </c>
      <c r="B129" s="25" t="s">
        <v>12</v>
      </c>
      <c r="C129">
        <v>183.5</v>
      </c>
      <c r="D129">
        <v>211.9</v>
      </c>
      <c r="E129">
        <v>28.400000000000006</v>
      </c>
    </row>
    <row r="130" spans="1:14" x14ac:dyDescent="0.25">
      <c r="A130" s="25" t="s">
        <v>33</v>
      </c>
      <c r="B130" s="25" t="s">
        <v>11</v>
      </c>
      <c r="C130">
        <v>121.4</v>
      </c>
      <c r="D130">
        <v>124.2</v>
      </c>
      <c r="E130">
        <v>2.7999999999999972</v>
      </c>
    </row>
    <row r="131" spans="1:14" x14ac:dyDescent="0.25">
      <c r="A131" s="25" t="s">
        <v>33</v>
      </c>
      <c r="B131" s="25" t="s">
        <v>9</v>
      </c>
      <c r="C131">
        <v>211.5</v>
      </c>
      <c r="D131">
        <v>185</v>
      </c>
      <c r="E131">
        <v>-26.5</v>
      </c>
    </row>
    <row r="133" spans="1:14" x14ac:dyDescent="0.25">
      <c r="A133" s="25"/>
      <c r="B133" s="25"/>
    </row>
    <row r="134" spans="1:14" x14ac:dyDescent="0.25">
      <c r="A134" s="25"/>
      <c r="B134" s="25"/>
    </row>
    <row r="135" spans="1:14" ht="14.25" customHeight="1" x14ac:dyDescent="0.25"/>
    <row r="138" spans="1:14" ht="24" x14ac:dyDescent="0.25">
      <c r="C138" s="115" t="s">
        <v>64</v>
      </c>
      <c r="D138" s="115"/>
      <c r="E138" s="21"/>
      <c r="F138" s="21"/>
      <c r="K138" s="91" t="s">
        <v>65</v>
      </c>
      <c r="L138" s="91"/>
      <c r="M138" s="91"/>
    </row>
    <row r="139" spans="1:14" ht="24" x14ac:dyDescent="0.25">
      <c r="C139" s="115"/>
      <c r="D139" s="115"/>
      <c r="E139" s="21"/>
      <c r="F139" s="21"/>
      <c r="K139" s="91"/>
      <c r="L139" s="91"/>
      <c r="M139" s="91"/>
    </row>
    <row r="140" spans="1:14" ht="15" customHeight="1" x14ac:dyDescent="0.25">
      <c r="B140" s="116" t="s">
        <v>67</v>
      </c>
      <c r="C140" s="116"/>
      <c r="D140" s="116"/>
      <c r="E140" s="116"/>
      <c r="F140" s="116"/>
      <c r="J140" s="116" t="s">
        <v>66</v>
      </c>
      <c r="K140" s="116"/>
      <c r="L140" s="116"/>
      <c r="M140" s="116"/>
      <c r="N140" s="116"/>
    </row>
    <row r="141" spans="1:14" ht="15" customHeight="1" x14ac:dyDescent="0.25">
      <c r="B141" s="116"/>
      <c r="C141" s="116"/>
      <c r="D141" s="116"/>
      <c r="E141" s="116"/>
      <c r="F141" s="116"/>
      <c r="J141" s="116"/>
      <c r="K141" s="116"/>
      <c r="L141" s="116"/>
      <c r="M141" s="116"/>
      <c r="N141" s="116"/>
    </row>
    <row r="142" spans="1:14" ht="15" customHeight="1" x14ac:dyDescent="0.25">
      <c r="B142" s="116"/>
      <c r="C142" s="116"/>
      <c r="D142" s="116"/>
      <c r="E142" s="116"/>
      <c r="F142" s="116"/>
      <c r="J142" s="116"/>
      <c r="K142" s="116"/>
      <c r="L142" s="116"/>
      <c r="M142" s="116"/>
      <c r="N142" s="116"/>
    </row>
    <row r="143" spans="1:14" ht="15" customHeight="1" x14ac:dyDescent="0.25">
      <c r="B143" s="116"/>
      <c r="C143" s="116"/>
      <c r="D143" s="116"/>
      <c r="E143" s="116"/>
      <c r="F143" s="116"/>
      <c r="J143" s="116"/>
      <c r="K143" s="116"/>
      <c r="L143" s="116"/>
      <c r="M143" s="116"/>
      <c r="N143" s="116"/>
    </row>
    <row r="144" spans="1:14" ht="15" customHeight="1" x14ac:dyDescent="0.25">
      <c r="B144" s="116"/>
      <c r="C144" s="116"/>
      <c r="D144" s="116"/>
      <c r="E144" s="116"/>
      <c r="F144" s="116"/>
      <c r="J144" s="116"/>
      <c r="K144" s="116"/>
      <c r="L144" s="116"/>
      <c r="M144" s="116"/>
      <c r="N144" s="116"/>
    </row>
    <row r="145" spans="2:14" ht="15" customHeight="1" x14ac:dyDescent="0.25">
      <c r="B145" s="116"/>
      <c r="C145" s="116"/>
      <c r="D145" s="116"/>
      <c r="E145" s="116"/>
      <c r="F145" s="116"/>
      <c r="J145" s="116"/>
      <c r="K145" s="116"/>
      <c r="L145" s="116"/>
      <c r="M145" s="116"/>
      <c r="N145" s="116"/>
    </row>
    <row r="146" spans="2:14" ht="15" customHeight="1" x14ac:dyDescent="0.25">
      <c r="B146" s="116"/>
      <c r="C146" s="116"/>
      <c r="D146" s="116"/>
      <c r="E146" s="116"/>
      <c r="F146" s="116"/>
      <c r="J146" s="116"/>
      <c r="K146" s="116"/>
      <c r="L146" s="116"/>
      <c r="M146" s="116"/>
      <c r="N146" s="116"/>
    </row>
    <row r="147" spans="2:14" x14ac:dyDescent="0.25">
      <c r="B147" s="116"/>
      <c r="C147" s="116"/>
      <c r="D147" s="116"/>
      <c r="E147" s="116"/>
      <c r="F147" s="116"/>
      <c r="J147" s="116"/>
      <c r="K147" s="116"/>
      <c r="L147" s="116"/>
      <c r="M147" s="116"/>
      <c r="N147" s="116"/>
    </row>
  </sheetData>
  <mergeCells count="7">
    <mergeCell ref="C138:D139"/>
    <mergeCell ref="K138:M139"/>
    <mergeCell ref="B140:F147"/>
    <mergeCell ref="J140:N147"/>
    <mergeCell ref="A1:M5"/>
    <mergeCell ref="D11:K14"/>
    <mergeCell ref="D85:K88"/>
  </mergeCells>
  <phoneticPr fontId="28" type="noConversion"/>
  <pageMargins left="0.7" right="0.7" top="0.75" bottom="0.75" header="0.3" footer="0.3"/>
  <drawing r:id="rId3"/>
  <tableParts count="2">
    <tablePart r:id="rId4"/>
    <tablePart r:id="rId5"/>
  </tableParts>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C93AE-04CB-402B-9F04-507D845FFA4A}">
  <dimension ref="A1:Y137"/>
  <sheetViews>
    <sheetView zoomScale="70" zoomScaleNormal="70" workbookViewId="0">
      <selection activeCell="D8" sqref="D8"/>
    </sheetView>
  </sheetViews>
  <sheetFormatPr defaultRowHeight="15" x14ac:dyDescent="0.25"/>
  <cols>
    <col min="1" max="1" width="13.140625" bestFit="1" customWidth="1"/>
    <col min="2" max="3" width="18.85546875" bestFit="1" customWidth="1"/>
    <col min="4" max="4" width="29.7109375" bestFit="1" customWidth="1"/>
    <col min="5" max="5" width="15.28515625" bestFit="1" customWidth="1"/>
    <col min="6" max="6" width="18.85546875" bestFit="1" customWidth="1"/>
    <col min="7" max="7" width="16.42578125" bestFit="1" customWidth="1"/>
    <col min="8" max="8" width="20.28515625" bestFit="1" customWidth="1"/>
    <col min="9" max="9" width="11.7109375" bestFit="1" customWidth="1"/>
    <col min="10" max="10" width="13.140625" bestFit="1" customWidth="1"/>
    <col min="11" max="11" width="18.85546875" bestFit="1" customWidth="1"/>
    <col min="12" max="12" width="29.7109375" bestFit="1" customWidth="1"/>
    <col min="13" max="13" width="19.140625" bestFit="1" customWidth="1"/>
    <col min="14" max="14" width="21.28515625" bestFit="1" customWidth="1"/>
    <col min="15" max="15" width="20.42578125" bestFit="1" customWidth="1"/>
    <col min="16" max="16" width="29.85546875" bestFit="1" customWidth="1"/>
    <col min="17" max="17" width="21.42578125" bestFit="1" customWidth="1"/>
    <col min="18" max="18" width="12.5703125" bestFit="1" customWidth="1"/>
    <col min="19" max="19" width="42.7109375" bestFit="1" customWidth="1"/>
  </cols>
  <sheetData>
    <row r="1" spans="1:25" ht="15" customHeight="1" x14ac:dyDescent="0.25">
      <c r="A1" s="124" t="s">
        <v>68</v>
      </c>
      <c r="B1" s="124"/>
      <c r="C1" s="124"/>
      <c r="D1" s="124"/>
      <c r="E1" s="124"/>
      <c r="F1" s="124"/>
      <c r="G1" s="124"/>
      <c r="H1" s="124"/>
      <c r="I1" s="124"/>
      <c r="J1" s="124"/>
      <c r="K1" s="124"/>
      <c r="L1" s="124"/>
      <c r="M1" s="124"/>
      <c r="N1" s="124"/>
      <c r="O1" s="124"/>
      <c r="P1" s="124"/>
      <c r="Q1" s="19"/>
      <c r="R1" s="22"/>
      <c r="S1" s="22"/>
      <c r="T1" s="22"/>
      <c r="U1" s="22"/>
      <c r="V1" s="22"/>
      <c r="W1" s="22"/>
      <c r="X1" s="22"/>
      <c r="Y1" s="22"/>
    </row>
    <row r="2" spans="1:25" ht="15" customHeight="1" x14ac:dyDescent="0.25">
      <c r="A2" s="124"/>
      <c r="B2" s="124"/>
      <c r="C2" s="124"/>
      <c r="D2" s="124"/>
      <c r="E2" s="124"/>
      <c r="F2" s="124"/>
      <c r="G2" s="124"/>
      <c r="H2" s="124"/>
      <c r="I2" s="124"/>
      <c r="J2" s="124"/>
      <c r="K2" s="124"/>
      <c r="L2" s="124"/>
      <c r="M2" s="124"/>
      <c r="N2" s="124"/>
      <c r="O2" s="124"/>
      <c r="P2" s="124"/>
      <c r="Q2" s="19"/>
      <c r="R2" s="22"/>
      <c r="S2" s="22"/>
      <c r="T2" s="22"/>
      <c r="U2" s="22"/>
      <c r="V2" s="22"/>
      <c r="W2" s="22"/>
      <c r="X2" s="22"/>
      <c r="Y2" s="22"/>
    </row>
    <row r="3" spans="1:25" ht="15" customHeight="1" x14ac:dyDescent="0.25">
      <c r="A3" s="124"/>
      <c r="B3" s="124"/>
      <c r="C3" s="124"/>
      <c r="D3" s="124"/>
      <c r="E3" s="124"/>
      <c r="F3" s="124"/>
      <c r="G3" s="124"/>
      <c r="H3" s="124"/>
      <c r="I3" s="124"/>
      <c r="J3" s="124"/>
      <c r="K3" s="124"/>
      <c r="L3" s="124"/>
      <c r="M3" s="124"/>
      <c r="N3" s="124"/>
      <c r="O3" s="124"/>
      <c r="P3" s="124"/>
      <c r="Q3" s="19"/>
      <c r="R3" s="22"/>
      <c r="S3" s="22"/>
      <c r="T3" s="22"/>
      <c r="U3" s="22"/>
      <c r="V3" s="22"/>
      <c r="W3" s="22"/>
      <c r="X3" s="22"/>
      <c r="Y3" s="22"/>
    </row>
    <row r="4" spans="1:25" ht="15" customHeight="1" x14ac:dyDescent="0.25">
      <c r="A4" s="124"/>
      <c r="B4" s="124"/>
      <c r="C4" s="124"/>
      <c r="D4" s="124"/>
      <c r="E4" s="124"/>
      <c r="F4" s="124"/>
      <c r="G4" s="124"/>
      <c r="H4" s="124"/>
      <c r="I4" s="124"/>
      <c r="J4" s="124"/>
      <c r="K4" s="124"/>
      <c r="L4" s="124"/>
      <c r="M4" s="124"/>
      <c r="N4" s="124"/>
      <c r="O4" s="124"/>
      <c r="P4" s="124"/>
      <c r="Q4" s="19"/>
      <c r="R4" s="22"/>
      <c r="S4" s="22"/>
    </row>
    <row r="5" spans="1:25" ht="15" customHeight="1" x14ac:dyDescent="0.25">
      <c r="A5" s="22"/>
      <c r="B5" s="22"/>
      <c r="C5" s="22"/>
      <c r="D5" s="22"/>
      <c r="E5" s="22"/>
      <c r="F5" s="22"/>
      <c r="G5" s="22"/>
      <c r="H5" s="22"/>
      <c r="I5" s="22"/>
      <c r="J5" s="22"/>
      <c r="K5" s="22"/>
      <c r="L5" s="22"/>
      <c r="M5" s="22"/>
      <c r="N5" s="22"/>
      <c r="O5" s="22"/>
      <c r="P5" s="22"/>
      <c r="Q5" s="22"/>
      <c r="R5" s="22"/>
      <c r="S5" s="22"/>
    </row>
    <row r="6" spans="1:25" ht="15" customHeight="1" x14ac:dyDescent="0.25">
      <c r="A6" s="22"/>
      <c r="B6" s="22"/>
      <c r="C6" s="22"/>
      <c r="D6" s="22"/>
      <c r="E6" s="22"/>
      <c r="F6" s="22"/>
      <c r="G6" s="22"/>
      <c r="H6" s="22"/>
      <c r="I6" s="22"/>
      <c r="J6" s="22"/>
      <c r="K6" s="22"/>
      <c r="L6" s="22"/>
      <c r="M6" s="22"/>
      <c r="N6" s="22"/>
      <c r="O6" s="22"/>
      <c r="P6" s="22"/>
      <c r="Q6" s="22"/>
      <c r="R6" s="22"/>
      <c r="S6" s="22"/>
    </row>
    <row r="7" spans="1:25" ht="15" customHeight="1" x14ac:dyDescent="0.25">
      <c r="A7" s="127" t="s">
        <v>90</v>
      </c>
      <c r="B7" s="127"/>
      <c r="C7" s="127"/>
      <c r="D7" s="22"/>
      <c r="E7" s="22"/>
      <c r="F7" s="22"/>
      <c r="G7" s="22"/>
      <c r="H7" s="22"/>
      <c r="I7" s="22"/>
      <c r="J7" s="22"/>
      <c r="K7" s="22"/>
      <c r="L7" s="22"/>
      <c r="M7" s="22"/>
      <c r="N7" s="22"/>
      <c r="O7" s="22"/>
      <c r="P7" s="22"/>
      <c r="Q7" s="22"/>
      <c r="R7" s="22"/>
      <c r="S7" s="22"/>
    </row>
    <row r="8" spans="1:25" ht="15" customHeight="1" x14ac:dyDescent="0.25">
      <c r="A8" s="127"/>
      <c r="B8" s="127"/>
      <c r="C8" s="127"/>
      <c r="D8" s="22"/>
      <c r="E8" s="22"/>
      <c r="F8" s="22"/>
      <c r="G8" s="22"/>
      <c r="H8" s="22"/>
      <c r="I8" s="22"/>
      <c r="J8" s="22"/>
      <c r="K8" s="22"/>
      <c r="L8" s="22"/>
      <c r="M8" s="22"/>
      <c r="N8" s="22"/>
      <c r="O8" s="22"/>
      <c r="P8" s="22"/>
      <c r="Q8" s="22"/>
      <c r="R8" s="22"/>
      <c r="S8" s="22"/>
    </row>
    <row r="9" spans="1:25" ht="15" customHeight="1" x14ac:dyDescent="0.25">
      <c r="A9" s="127"/>
      <c r="B9" s="127"/>
      <c r="C9" s="127"/>
      <c r="D9" s="22"/>
      <c r="E9" s="47"/>
      <c r="F9" s="47"/>
      <c r="G9" s="47"/>
      <c r="H9" s="47"/>
      <c r="I9" s="47"/>
      <c r="J9" s="47"/>
      <c r="K9" s="47"/>
      <c r="L9" s="22"/>
      <c r="M9" s="22"/>
      <c r="N9" s="22"/>
      <c r="O9" s="22"/>
      <c r="P9" s="22"/>
      <c r="Q9" s="22"/>
      <c r="R9" s="22"/>
      <c r="S9" s="22"/>
    </row>
    <row r="10" spans="1:25" s="24" customFormat="1" ht="19.5" x14ac:dyDescent="0.4">
      <c r="A10" s="24" t="s">
        <v>0</v>
      </c>
      <c r="B10" s="24" t="s">
        <v>1</v>
      </c>
      <c r="C10" s="24" t="s">
        <v>2</v>
      </c>
      <c r="D10" s="24" t="s">
        <v>3</v>
      </c>
      <c r="E10" s="24" t="s">
        <v>4</v>
      </c>
      <c r="F10" s="24" t="s">
        <v>5</v>
      </c>
      <c r="G10" s="24" t="s">
        <v>6</v>
      </c>
      <c r="H10" s="24" t="s">
        <v>7</v>
      </c>
      <c r="I10" s="24" t="s">
        <v>8</v>
      </c>
      <c r="J10" s="24" t="s">
        <v>9</v>
      </c>
      <c r="K10" s="24" t="s">
        <v>10</v>
      </c>
      <c r="L10" s="24" t="s">
        <v>11</v>
      </c>
      <c r="M10" s="24" t="s">
        <v>12</v>
      </c>
      <c r="N10" s="24" t="s">
        <v>13</v>
      </c>
      <c r="O10" s="24" t="s">
        <v>14</v>
      </c>
      <c r="P10" s="24" t="s">
        <v>15</v>
      </c>
      <c r="Q10" s="24" t="s">
        <v>21</v>
      </c>
      <c r="R10" s="24" t="s">
        <v>23</v>
      </c>
      <c r="S10" s="24" t="s">
        <v>24</v>
      </c>
    </row>
    <row r="11" spans="1:25" x14ac:dyDescent="0.25">
      <c r="A11" t="s">
        <v>30</v>
      </c>
      <c r="B11">
        <v>2019</v>
      </c>
      <c r="C11" t="s">
        <v>36</v>
      </c>
      <c r="D11">
        <v>136.9</v>
      </c>
      <c r="E11">
        <v>154.1</v>
      </c>
      <c r="F11">
        <v>138.69999999999999</v>
      </c>
      <c r="G11">
        <v>142.5</v>
      </c>
      <c r="H11">
        <v>124.1</v>
      </c>
      <c r="I11">
        <v>136.1</v>
      </c>
      <c r="J11">
        <v>128.19999999999999</v>
      </c>
      <c r="K11">
        <v>122.3</v>
      </c>
      <c r="L11">
        <v>108.3</v>
      </c>
      <c r="M11">
        <v>138.9</v>
      </c>
      <c r="N11">
        <v>137.4</v>
      </c>
      <c r="O11">
        <v>156.4</v>
      </c>
      <c r="P11">
        <v>137.30000000000001</v>
      </c>
      <c r="Q11">
        <v>146.4</v>
      </c>
      <c r="R11">
        <v>150.4</v>
      </c>
      <c r="S11">
        <v>129.9</v>
      </c>
    </row>
    <row r="12" spans="1:25" x14ac:dyDescent="0.25">
      <c r="A12" t="s">
        <v>30</v>
      </c>
      <c r="B12">
        <v>2020</v>
      </c>
      <c r="C12" t="s">
        <v>35</v>
      </c>
      <c r="D12">
        <v>144.19999999999999</v>
      </c>
      <c r="E12">
        <v>167.5</v>
      </c>
      <c r="F12">
        <v>150.9</v>
      </c>
      <c r="G12">
        <v>150.9</v>
      </c>
      <c r="H12">
        <v>133.69999999999999</v>
      </c>
      <c r="I12">
        <v>140.69999999999999</v>
      </c>
      <c r="J12">
        <v>165.1</v>
      </c>
      <c r="K12">
        <v>141.80000000000001</v>
      </c>
      <c r="L12">
        <v>113.1</v>
      </c>
      <c r="M12">
        <v>152.80000000000001</v>
      </c>
      <c r="N12">
        <v>140.1</v>
      </c>
      <c r="O12">
        <v>159.19999999999999</v>
      </c>
      <c r="P12">
        <v>149.80000000000001</v>
      </c>
      <c r="Q12">
        <v>152.30000000000001</v>
      </c>
      <c r="R12">
        <v>156.19999999999999</v>
      </c>
      <c r="S12">
        <v>136</v>
      </c>
    </row>
    <row r="13" spans="1:25" x14ac:dyDescent="0.25">
      <c r="A13" t="s">
        <v>34</v>
      </c>
      <c r="B13">
        <v>2019</v>
      </c>
      <c r="C13" t="s">
        <v>36</v>
      </c>
      <c r="D13">
        <v>137.80000000000001</v>
      </c>
      <c r="E13">
        <v>153</v>
      </c>
      <c r="F13">
        <v>140.30000000000001</v>
      </c>
      <c r="G13">
        <v>142.30000000000001</v>
      </c>
      <c r="H13">
        <v>122</v>
      </c>
      <c r="I13">
        <v>137.6</v>
      </c>
      <c r="J13">
        <v>132.6</v>
      </c>
      <c r="K13">
        <v>121.8</v>
      </c>
      <c r="L13">
        <v>109</v>
      </c>
      <c r="M13">
        <v>139.5</v>
      </c>
      <c r="N13">
        <v>133.69999999999999</v>
      </c>
      <c r="O13">
        <v>155.19999999999999</v>
      </c>
      <c r="P13">
        <v>138.1</v>
      </c>
      <c r="Q13">
        <v>139.69999999999999</v>
      </c>
      <c r="R13">
        <v>146.19999999999999</v>
      </c>
      <c r="S13">
        <v>124.6</v>
      </c>
    </row>
    <row r="14" spans="1:25" x14ac:dyDescent="0.25">
      <c r="A14" t="s">
        <v>34</v>
      </c>
      <c r="B14">
        <v>2020</v>
      </c>
      <c r="C14" t="s">
        <v>35</v>
      </c>
      <c r="D14">
        <v>144.80000000000001</v>
      </c>
      <c r="E14">
        <v>167.5</v>
      </c>
      <c r="F14">
        <v>151.80000000000001</v>
      </c>
      <c r="G14">
        <v>150.80000000000001</v>
      </c>
      <c r="H14">
        <v>131.4</v>
      </c>
      <c r="I14">
        <v>141.80000000000001</v>
      </c>
      <c r="J14">
        <v>170.7</v>
      </c>
      <c r="K14">
        <v>141.1</v>
      </c>
      <c r="L14">
        <v>113.6</v>
      </c>
      <c r="M14">
        <v>152</v>
      </c>
      <c r="N14">
        <v>136.5</v>
      </c>
      <c r="O14">
        <v>159.1</v>
      </c>
      <c r="P14">
        <v>150.5</v>
      </c>
      <c r="Q14">
        <v>147.19999999999999</v>
      </c>
      <c r="R14">
        <v>151.69999999999999</v>
      </c>
      <c r="S14">
        <v>130.30000000000001</v>
      </c>
    </row>
    <row r="15" spans="1:25" x14ac:dyDescent="0.25">
      <c r="A15" t="s">
        <v>33</v>
      </c>
      <c r="B15">
        <v>2019</v>
      </c>
      <c r="C15" t="s">
        <v>36</v>
      </c>
      <c r="D15">
        <v>139.69999999999999</v>
      </c>
      <c r="E15">
        <v>151.1</v>
      </c>
      <c r="F15">
        <v>142.9</v>
      </c>
      <c r="G15">
        <v>141.9</v>
      </c>
      <c r="H15">
        <v>118.4</v>
      </c>
      <c r="I15">
        <v>139.4</v>
      </c>
      <c r="J15">
        <v>141.19999999999999</v>
      </c>
      <c r="K15">
        <v>120.7</v>
      </c>
      <c r="L15">
        <v>110.4</v>
      </c>
      <c r="M15">
        <v>140.69999999999999</v>
      </c>
      <c r="N15">
        <v>128.5</v>
      </c>
      <c r="O15">
        <v>153.9</v>
      </c>
      <c r="P15">
        <v>139.6</v>
      </c>
      <c r="Q15">
        <v>128.80000000000001</v>
      </c>
      <c r="R15">
        <v>139.19999999999999</v>
      </c>
      <c r="S15">
        <v>119.9</v>
      </c>
    </row>
    <row r="16" spans="1:25" x14ac:dyDescent="0.25">
      <c r="A16" t="s">
        <v>33</v>
      </c>
      <c r="B16">
        <v>2020</v>
      </c>
      <c r="C16" t="s">
        <v>35</v>
      </c>
      <c r="D16">
        <v>146.19999999999999</v>
      </c>
      <c r="E16">
        <v>167.6</v>
      </c>
      <c r="F16">
        <v>153.1</v>
      </c>
      <c r="G16">
        <v>150.69999999999999</v>
      </c>
      <c r="H16">
        <v>127.4</v>
      </c>
      <c r="I16">
        <v>143.1</v>
      </c>
      <c r="J16">
        <v>181.7</v>
      </c>
      <c r="K16">
        <v>139.6</v>
      </c>
      <c r="L16">
        <v>114.6</v>
      </c>
      <c r="M16">
        <v>150.4</v>
      </c>
      <c r="N16">
        <v>131.5</v>
      </c>
      <c r="O16">
        <v>159</v>
      </c>
      <c r="P16">
        <v>151.69999999999999</v>
      </c>
      <c r="Q16">
        <v>138.9</v>
      </c>
      <c r="R16">
        <v>144.4</v>
      </c>
      <c r="S16">
        <v>125.2</v>
      </c>
    </row>
    <row r="20" spans="1:19" ht="15" customHeight="1" x14ac:dyDescent="0.25">
      <c r="A20" s="126" t="s">
        <v>91</v>
      </c>
      <c r="B20" s="126"/>
      <c r="C20" s="126"/>
    </row>
    <row r="21" spans="1:19" ht="15" customHeight="1" x14ac:dyDescent="0.25">
      <c r="A21" s="126"/>
      <c r="B21" s="126"/>
      <c r="C21" s="126"/>
    </row>
    <row r="22" spans="1:19" x14ac:dyDescent="0.25">
      <c r="A22" s="126"/>
      <c r="B22" s="126"/>
      <c r="C22" s="126"/>
    </row>
    <row r="23" spans="1:19" s="24" customFormat="1" ht="19.5" x14ac:dyDescent="0.4">
      <c r="A23" s="24" t="s">
        <v>0</v>
      </c>
      <c r="B23" s="24" t="s">
        <v>1</v>
      </c>
      <c r="C23" s="24" t="s">
        <v>2</v>
      </c>
      <c r="D23" s="24" t="s">
        <v>3</v>
      </c>
      <c r="E23" s="24" t="s">
        <v>4</v>
      </c>
      <c r="F23" s="24" t="s">
        <v>5</v>
      </c>
      <c r="G23" s="24" t="s">
        <v>6</v>
      </c>
      <c r="H23" s="24" t="s">
        <v>7</v>
      </c>
      <c r="I23" s="24" t="s">
        <v>8</v>
      </c>
      <c r="J23" s="24" t="s">
        <v>9</v>
      </c>
      <c r="K23" s="24" t="s">
        <v>10</v>
      </c>
      <c r="L23" s="24" t="s">
        <v>11</v>
      </c>
      <c r="M23" s="24" t="s">
        <v>12</v>
      </c>
      <c r="N23" s="24" t="s">
        <v>13</v>
      </c>
      <c r="O23" s="24" t="s">
        <v>14</v>
      </c>
      <c r="P23" s="24" t="s">
        <v>15</v>
      </c>
      <c r="Q23" s="24" t="s">
        <v>21</v>
      </c>
      <c r="R23" s="24" t="s">
        <v>23</v>
      </c>
      <c r="S23" s="24" t="s">
        <v>24</v>
      </c>
    </row>
    <row r="24" spans="1:19" x14ac:dyDescent="0.25">
      <c r="A24" t="s">
        <v>30</v>
      </c>
      <c r="B24">
        <v>2020</v>
      </c>
      <c r="C24" t="s">
        <v>36</v>
      </c>
      <c r="D24">
        <v>144.4</v>
      </c>
      <c r="E24">
        <v>166.8</v>
      </c>
      <c r="F24">
        <v>147.6</v>
      </c>
      <c r="G24">
        <v>151.69999999999999</v>
      </c>
      <c r="H24">
        <v>133.30000000000001</v>
      </c>
      <c r="I24">
        <v>141.80000000000001</v>
      </c>
      <c r="J24">
        <v>152.30000000000001</v>
      </c>
      <c r="K24">
        <v>141.80000000000001</v>
      </c>
      <c r="L24">
        <v>112.6</v>
      </c>
      <c r="M24">
        <v>154</v>
      </c>
      <c r="N24">
        <v>140.1</v>
      </c>
      <c r="O24">
        <v>160</v>
      </c>
      <c r="P24">
        <v>148.19999999999999</v>
      </c>
      <c r="Q24">
        <v>153.4</v>
      </c>
      <c r="R24">
        <v>156.69999999999999</v>
      </c>
      <c r="S24">
        <v>135.80000000000001</v>
      </c>
    </row>
    <row r="25" spans="1:19" x14ac:dyDescent="0.25">
      <c r="A25" t="s">
        <v>30</v>
      </c>
      <c r="B25">
        <v>2021</v>
      </c>
      <c r="C25" t="s">
        <v>35</v>
      </c>
      <c r="D25">
        <v>142.80000000000001</v>
      </c>
      <c r="E25">
        <v>184</v>
      </c>
      <c r="F25">
        <v>168</v>
      </c>
      <c r="G25">
        <v>154.4</v>
      </c>
      <c r="H25">
        <v>163</v>
      </c>
      <c r="I25">
        <v>147.80000000000001</v>
      </c>
      <c r="J25">
        <v>149.69999999999999</v>
      </c>
      <c r="K25">
        <v>158.30000000000001</v>
      </c>
      <c r="L25">
        <v>111.8</v>
      </c>
      <c r="M25">
        <v>165</v>
      </c>
      <c r="N25">
        <v>160</v>
      </c>
      <c r="O25">
        <v>165.8</v>
      </c>
      <c r="P25">
        <v>154.69999999999999</v>
      </c>
      <c r="Q25">
        <v>154.4</v>
      </c>
      <c r="R25">
        <v>164.3</v>
      </c>
      <c r="S25">
        <v>150.19999999999999</v>
      </c>
    </row>
    <row r="26" spans="1:19" x14ac:dyDescent="0.25">
      <c r="A26" t="s">
        <v>34</v>
      </c>
      <c r="B26">
        <v>2020</v>
      </c>
      <c r="C26" t="s">
        <v>36</v>
      </c>
      <c r="D26">
        <v>145.1</v>
      </c>
      <c r="E26">
        <v>167</v>
      </c>
      <c r="F26">
        <v>148.1</v>
      </c>
      <c r="G26">
        <v>151.5</v>
      </c>
      <c r="H26">
        <v>131.19999999999999</v>
      </c>
      <c r="I26">
        <v>142.5</v>
      </c>
      <c r="J26">
        <v>157.30000000000001</v>
      </c>
      <c r="K26">
        <v>141.1</v>
      </c>
      <c r="L26">
        <v>113.2</v>
      </c>
      <c r="M26">
        <v>153.19999999999999</v>
      </c>
      <c r="N26">
        <v>136.69999999999999</v>
      </c>
      <c r="O26">
        <v>159.6</v>
      </c>
      <c r="P26">
        <v>148.9</v>
      </c>
      <c r="Q26">
        <v>148.9</v>
      </c>
      <c r="R26">
        <v>152.30000000000001</v>
      </c>
      <c r="S26">
        <v>129.9</v>
      </c>
    </row>
    <row r="27" spans="1:19" x14ac:dyDescent="0.25">
      <c r="A27" t="s">
        <v>34</v>
      </c>
      <c r="B27">
        <v>2021</v>
      </c>
      <c r="C27" t="s">
        <v>35</v>
      </c>
      <c r="D27">
        <v>144.30000000000001</v>
      </c>
      <c r="E27">
        <v>186.5</v>
      </c>
      <c r="F27">
        <v>168.7</v>
      </c>
      <c r="G27">
        <v>154.69999999999999</v>
      </c>
      <c r="H27">
        <v>158.69999999999999</v>
      </c>
      <c r="I27">
        <v>150.69999999999999</v>
      </c>
      <c r="J27">
        <v>160</v>
      </c>
      <c r="K27">
        <v>158.80000000000001</v>
      </c>
      <c r="L27">
        <v>112.8</v>
      </c>
      <c r="M27">
        <v>164.2</v>
      </c>
      <c r="N27">
        <v>155.5</v>
      </c>
      <c r="O27">
        <v>167.5</v>
      </c>
      <c r="P27">
        <v>156.9</v>
      </c>
      <c r="Q27">
        <v>152.4</v>
      </c>
      <c r="R27">
        <v>161.30000000000001</v>
      </c>
      <c r="S27">
        <v>145.1</v>
      </c>
    </row>
    <row r="28" spans="1:19" x14ac:dyDescent="0.25">
      <c r="A28" t="s">
        <v>33</v>
      </c>
      <c r="B28">
        <v>2020</v>
      </c>
      <c r="C28" t="s">
        <v>36</v>
      </c>
      <c r="D28">
        <v>146.5</v>
      </c>
      <c r="E28">
        <v>167.5</v>
      </c>
      <c r="F28">
        <v>148.9</v>
      </c>
      <c r="G28">
        <v>151.1</v>
      </c>
      <c r="H28">
        <v>127.5</v>
      </c>
      <c r="I28">
        <v>143.30000000000001</v>
      </c>
      <c r="J28">
        <v>167</v>
      </c>
      <c r="K28">
        <v>139.69999999999999</v>
      </c>
      <c r="L28">
        <v>114.4</v>
      </c>
      <c r="M28">
        <v>151.5</v>
      </c>
      <c r="N28">
        <v>131.9</v>
      </c>
      <c r="O28">
        <v>159.1</v>
      </c>
      <c r="P28">
        <v>150.1</v>
      </c>
      <c r="Q28">
        <v>141.4</v>
      </c>
      <c r="R28">
        <v>145</v>
      </c>
      <c r="S28">
        <v>124.6</v>
      </c>
    </row>
    <row r="29" spans="1:19" x14ac:dyDescent="0.25">
      <c r="A29" t="s">
        <v>33</v>
      </c>
      <c r="B29">
        <v>2021</v>
      </c>
      <c r="C29" t="s">
        <v>35</v>
      </c>
      <c r="D29">
        <v>147.6</v>
      </c>
      <c r="E29">
        <v>191.2</v>
      </c>
      <c r="F29">
        <v>169.9</v>
      </c>
      <c r="G29">
        <v>155.1</v>
      </c>
      <c r="H29">
        <v>151.4</v>
      </c>
      <c r="I29">
        <v>154</v>
      </c>
      <c r="J29">
        <v>180.2</v>
      </c>
      <c r="K29">
        <v>159.80000000000001</v>
      </c>
      <c r="L29">
        <v>114.9</v>
      </c>
      <c r="M29">
        <v>162.5</v>
      </c>
      <c r="N29">
        <v>149.19999999999999</v>
      </c>
      <c r="O29">
        <v>169.4</v>
      </c>
      <c r="P29">
        <v>160.80000000000001</v>
      </c>
      <c r="Q29">
        <v>149.1</v>
      </c>
      <c r="R29">
        <v>156.30000000000001</v>
      </c>
      <c r="S29">
        <v>140.5</v>
      </c>
    </row>
    <row r="32" spans="1:19" ht="15" customHeight="1" x14ac:dyDescent="0.25">
      <c r="B32" s="8"/>
      <c r="C32" s="125" t="s">
        <v>96</v>
      </c>
      <c r="D32" s="125"/>
      <c r="E32" s="125"/>
      <c r="F32" s="125"/>
      <c r="G32" s="8"/>
      <c r="H32" s="8"/>
      <c r="I32" s="8"/>
      <c r="J32" s="8"/>
      <c r="K32" s="125" t="s">
        <v>97</v>
      </c>
      <c r="L32" s="125"/>
      <c r="M32" s="125"/>
      <c r="N32" s="125"/>
      <c r="O32" s="8"/>
      <c r="P32" s="8"/>
    </row>
    <row r="33" spans="2:16" ht="15" customHeight="1" x14ac:dyDescent="0.25">
      <c r="B33" s="8"/>
      <c r="C33" s="125"/>
      <c r="D33" s="125"/>
      <c r="E33" s="125"/>
      <c r="F33" s="125"/>
      <c r="G33" s="8"/>
      <c r="H33" s="8"/>
      <c r="I33" s="8"/>
      <c r="J33" s="8"/>
      <c r="K33" s="125"/>
      <c r="L33" s="125"/>
      <c r="M33" s="125"/>
      <c r="N33" s="125"/>
      <c r="O33" s="8"/>
      <c r="P33" s="8"/>
    </row>
    <row r="34" spans="2:16" ht="15" customHeight="1" x14ac:dyDescent="0.25">
      <c r="B34" s="8"/>
      <c r="C34" s="125"/>
      <c r="D34" s="125"/>
      <c r="E34" s="125"/>
      <c r="F34" s="125"/>
      <c r="G34" s="8"/>
      <c r="H34" s="8"/>
      <c r="I34" s="8"/>
      <c r="J34" s="8"/>
      <c r="K34" s="125"/>
      <c r="L34" s="125"/>
      <c r="M34" s="125"/>
      <c r="N34" s="125"/>
      <c r="O34" s="8"/>
      <c r="P34" s="8"/>
    </row>
    <row r="35" spans="2:16" x14ac:dyDescent="0.25">
      <c r="B35" t="s">
        <v>0</v>
      </c>
      <c r="C35" t="s">
        <v>85</v>
      </c>
      <c r="D35" t="s">
        <v>69</v>
      </c>
      <c r="E35" t="s">
        <v>92</v>
      </c>
      <c r="F35" t="s">
        <v>93</v>
      </c>
      <c r="G35" s="39" t="s">
        <v>89</v>
      </c>
      <c r="H35" s="8"/>
      <c r="I35" s="8"/>
      <c r="J35" s="8" t="s">
        <v>0</v>
      </c>
      <c r="K35" s="8" t="s">
        <v>85</v>
      </c>
      <c r="L35" s="8" t="s">
        <v>69</v>
      </c>
      <c r="M35" s="8" t="s">
        <v>94</v>
      </c>
      <c r="N35" s="8" t="s">
        <v>95</v>
      </c>
      <c r="O35" s="8" t="s">
        <v>89</v>
      </c>
      <c r="P35" s="8"/>
    </row>
    <row r="36" spans="2:16" x14ac:dyDescent="0.25">
      <c r="B36" s="25" t="s">
        <v>30</v>
      </c>
      <c r="C36" t="s">
        <v>86</v>
      </c>
      <c r="D36" s="25" t="s">
        <v>9</v>
      </c>
      <c r="E36">
        <v>128.19999999999999</v>
      </c>
      <c r="F36">
        <v>165.1</v>
      </c>
      <c r="G36" s="49">
        <v>28.783151326053048</v>
      </c>
      <c r="J36" s="25" t="s">
        <v>30</v>
      </c>
      <c r="K36" t="s">
        <v>86</v>
      </c>
      <c r="L36" s="25" t="s">
        <v>7</v>
      </c>
      <c r="M36">
        <v>133.30000000000001</v>
      </c>
      <c r="N36">
        <v>163</v>
      </c>
      <c r="O36" s="39">
        <v>0.22280570142535625</v>
      </c>
    </row>
    <row r="37" spans="2:16" x14ac:dyDescent="0.25">
      <c r="B37" s="25" t="s">
        <v>30</v>
      </c>
      <c r="C37" t="s">
        <v>86</v>
      </c>
      <c r="D37" s="25" t="s">
        <v>10</v>
      </c>
      <c r="E37">
        <v>122.3</v>
      </c>
      <c r="F37">
        <v>141.80000000000001</v>
      </c>
      <c r="G37" s="49">
        <v>15.944399018806227</v>
      </c>
      <c r="J37" s="25" t="s">
        <v>30</v>
      </c>
      <c r="K37" t="s">
        <v>86</v>
      </c>
      <c r="L37" s="25" t="s">
        <v>13</v>
      </c>
      <c r="M37">
        <v>140.1</v>
      </c>
      <c r="N37">
        <v>160</v>
      </c>
      <c r="O37" s="39">
        <v>0.14204139900071383</v>
      </c>
    </row>
    <row r="38" spans="2:16" x14ac:dyDescent="0.25">
      <c r="B38" s="25" t="s">
        <v>30</v>
      </c>
      <c r="C38" t="s">
        <v>86</v>
      </c>
      <c r="D38" s="25" t="s">
        <v>12</v>
      </c>
      <c r="E38">
        <v>138.9</v>
      </c>
      <c r="F38">
        <v>152.80000000000001</v>
      </c>
      <c r="G38" s="49">
        <v>10.00719942404608</v>
      </c>
      <c r="J38" s="25" t="s">
        <v>30</v>
      </c>
      <c r="K38" t="s">
        <v>86</v>
      </c>
      <c r="L38" s="25" t="s">
        <v>5</v>
      </c>
      <c r="M38">
        <v>147.6</v>
      </c>
      <c r="N38">
        <v>168</v>
      </c>
      <c r="O38" s="39">
        <v>0.13821138211382117</v>
      </c>
    </row>
    <row r="39" spans="2:16" x14ac:dyDescent="0.25">
      <c r="B39" s="25" t="s">
        <v>30</v>
      </c>
      <c r="C39" t="s">
        <v>86</v>
      </c>
      <c r="D39" s="25" t="s">
        <v>15</v>
      </c>
      <c r="E39">
        <v>137.30000000000001</v>
      </c>
      <c r="F39">
        <v>149.80000000000001</v>
      </c>
      <c r="G39" s="49">
        <v>9.1041514930808436</v>
      </c>
      <c r="H39" s="48"/>
      <c r="J39" s="25" t="s">
        <v>30</v>
      </c>
      <c r="K39" t="s">
        <v>86</v>
      </c>
      <c r="L39" s="25" t="s">
        <v>10</v>
      </c>
      <c r="M39">
        <v>141.80000000000001</v>
      </c>
      <c r="N39">
        <v>158.30000000000001</v>
      </c>
      <c r="O39" s="39">
        <v>0.116361071932299</v>
      </c>
    </row>
    <row r="40" spans="2:16" x14ac:dyDescent="0.25">
      <c r="B40" s="25" t="s">
        <v>30</v>
      </c>
      <c r="C40" t="s">
        <v>86</v>
      </c>
      <c r="D40" s="25" t="s">
        <v>5</v>
      </c>
      <c r="E40">
        <v>138.69999999999999</v>
      </c>
      <c r="F40">
        <v>150.9</v>
      </c>
      <c r="G40" s="49">
        <v>8.7959625090122699</v>
      </c>
      <c r="J40" s="25" t="s">
        <v>30</v>
      </c>
      <c r="K40" t="s">
        <v>87</v>
      </c>
      <c r="L40" s="25" t="s">
        <v>24</v>
      </c>
      <c r="M40">
        <v>135.80000000000001</v>
      </c>
      <c r="N40">
        <v>150.19999999999999</v>
      </c>
      <c r="O40" s="39">
        <v>0.10603829160530173</v>
      </c>
    </row>
    <row r="41" spans="2:16" x14ac:dyDescent="0.25">
      <c r="B41" s="25" t="s">
        <v>30</v>
      </c>
      <c r="C41" t="s">
        <v>86</v>
      </c>
      <c r="D41" s="25" t="s">
        <v>4</v>
      </c>
      <c r="E41">
        <v>154.1</v>
      </c>
      <c r="F41">
        <v>167.5</v>
      </c>
      <c r="G41" s="49">
        <v>8.6956521739130466</v>
      </c>
      <c r="J41" s="25" t="s">
        <v>30</v>
      </c>
      <c r="K41" t="s">
        <v>86</v>
      </c>
      <c r="L41" s="25" t="s">
        <v>4</v>
      </c>
      <c r="M41">
        <v>166.8</v>
      </c>
      <c r="N41">
        <v>184</v>
      </c>
      <c r="O41" s="39">
        <v>0.10311750599520376</v>
      </c>
    </row>
    <row r="42" spans="2:16" x14ac:dyDescent="0.25">
      <c r="B42" s="25" t="s">
        <v>30</v>
      </c>
      <c r="C42" t="s">
        <v>86</v>
      </c>
      <c r="D42" s="25" t="s">
        <v>7</v>
      </c>
      <c r="E42">
        <v>124.1</v>
      </c>
      <c r="F42">
        <v>133.69999999999999</v>
      </c>
      <c r="G42" s="49">
        <v>7.7356970185334371</v>
      </c>
      <c r="J42" s="25" t="s">
        <v>30</v>
      </c>
      <c r="K42" t="s">
        <v>86</v>
      </c>
      <c r="L42" s="25" t="s">
        <v>12</v>
      </c>
      <c r="M42">
        <v>154</v>
      </c>
      <c r="N42">
        <v>165</v>
      </c>
      <c r="O42" s="39">
        <v>7.1428571428571425E-2</v>
      </c>
    </row>
    <row r="43" spans="2:16" x14ac:dyDescent="0.25">
      <c r="B43" s="25" t="s">
        <v>30</v>
      </c>
      <c r="C43" t="s">
        <v>86</v>
      </c>
      <c r="D43" s="25" t="s">
        <v>6</v>
      </c>
      <c r="E43">
        <v>142.5</v>
      </c>
      <c r="F43">
        <v>150.9</v>
      </c>
      <c r="G43" s="49">
        <v>5.8947368421052673</v>
      </c>
      <c r="J43" s="25" t="s">
        <v>30</v>
      </c>
      <c r="K43" t="s">
        <v>88</v>
      </c>
      <c r="L43" s="25" t="s">
        <v>23</v>
      </c>
      <c r="M43">
        <v>156.69999999999999</v>
      </c>
      <c r="N43">
        <v>164.3</v>
      </c>
      <c r="O43" s="39">
        <v>4.8500319081046732E-2</v>
      </c>
    </row>
    <row r="44" spans="2:16" x14ac:dyDescent="0.25">
      <c r="B44" s="25" t="s">
        <v>30</v>
      </c>
      <c r="C44" t="s">
        <v>86</v>
      </c>
      <c r="D44" s="25" t="s">
        <v>3</v>
      </c>
      <c r="E44">
        <v>136.9</v>
      </c>
      <c r="F44">
        <v>144.19999999999999</v>
      </c>
      <c r="G44" s="49">
        <v>5.3323593864134278</v>
      </c>
      <c r="J44" s="25" t="s">
        <v>30</v>
      </c>
      <c r="K44" t="s">
        <v>86</v>
      </c>
      <c r="L44" s="25" t="s">
        <v>15</v>
      </c>
      <c r="M44">
        <v>148.19999999999999</v>
      </c>
      <c r="N44">
        <v>154.69999999999999</v>
      </c>
      <c r="O44" s="39">
        <v>4.3859649122807022E-2</v>
      </c>
    </row>
    <row r="45" spans="2:16" x14ac:dyDescent="0.25">
      <c r="B45" s="25" t="s">
        <v>30</v>
      </c>
      <c r="C45" t="s">
        <v>87</v>
      </c>
      <c r="D45" s="25" t="s">
        <v>24</v>
      </c>
      <c r="E45">
        <v>129.9</v>
      </c>
      <c r="F45">
        <v>136</v>
      </c>
      <c r="G45" s="49">
        <v>4.6959199384141597</v>
      </c>
      <c r="J45" s="25" t="s">
        <v>30</v>
      </c>
      <c r="K45" t="s">
        <v>86</v>
      </c>
      <c r="L45" s="25" t="s">
        <v>8</v>
      </c>
      <c r="M45">
        <v>141.80000000000001</v>
      </c>
      <c r="N45">
        <v>147.80000000000001</v>
      </c>
      <c r="O45" s="39">
        <v>4.2313117066290547E-2</v>
      </c>
    </row>
    <row r="46" spans="2:16" x14ac:dyDescent="0.25">
      <c r="B46" s="25" t="s">
        <v>30</v>
      </c>
      <c r="C46" t="s">
        <v>86</v>
      </c>
      <c r="D46" s="25" t="s">
        <v>11</v>
      </c>
      <c r="E46">
        <v>108.3</v>
      </c>
      <c r="F46">
        <v>113.1</v>
      </c>
      <c r="G46" s="49">
        <v>4.4321329639889173</v>
      </c>
      <c r="J46" s="25" t="s">
        <v>30</v>
      </c>
      <c r="K46" t="s">
        <v>86</v>
      </c>
      <c r="L46" s="25" t="s">
        <v>14</v>
      </c>
      <c r="M46">
        <v>160</v>
      </c>
      <c r="N46">
        <v>165.8</v>
      </c>
      <c r="O46" s="39">
        <v>3.6250000000000074E-2</v>
      </c>
    </row>
    <row r="47" spans="2:16" x14ac:dyDescent="0.25">
      <c r="B47" s="25" t="s">
        <v>30</v>
      </c>
      <c r="C47" t="s">
        <v>87</v>
      </c>
      <c r="D47" s="25" t="s">
        <v>21</v>
      </c>
      <c r="E47">
        <v>146.4</v>
      </c>
      <c r="F47">
        <v>152.30000000000001</v>
      </c>
      <c r="G47" s="49">
        <v>4.0300546448087466</v>
      </c>
      <c r="J47" s="25" t="s">
        <v>30</v>
      </c>
      <c r="K47" t="s">
        <v>86</v>
      </c>
      <c r="L47" s="25" t="s">
        <v>6</v>
      </c>
      <c r="M47">
        <v>151.69999999999999</v>
      </c>
      <c r="N47">
        <v>154.4</v>
      </c>
      <c r="O47" s="39">
        <v>1.7798286090969132E-2</v>
      </c>
    </row>
    <row r="48" spans="2:16" x14ac:dyDescent="0.25">
      <c r="B48" s="25" t="s">
        <v>30</v>
      </c>
      <c r="C48" t="s">
        <v>88</v>
      </c>
      <c r="D48" s="25" t="s">
        <v>23</v>
      </c>
      <c r="E48">
        <v>150.4</v>
      </c>
      <c r="F48">
        <v>156.19999999999999</v>
      </c>
      <c r="G48" s="49">
        <v>3.8563829787233925</v>
      </c>
      <c r="J48" s="25" t="s">
        <v>30</v>
      </c>
      <c r="K48" t="s">
        <v>87</v>
      </c>
      <c r="L48" s="25" t="s">
        <v>21</v>
      </c>
      <c r="M48">
        <v>153.4</v>
      </c>
      <c r="N48">
        <v>154.4</v>
      </c>
      <c r="O48" s="39">
        <v>6.5189048239895691E-3</v>
      </c>
    </row>
    <row r="49" spans="2:15" x14ac:dyDescent="0.25">
      <c r="B49" s="25" t="s">
        <v>30</v>
      </c>
      <c r="C49" t="s">
        <v>86</v>
      </c>
      <c r="D49" s="25" t="s">
        <v>8</v>
      </c>
      <c r="E49">
        <v>136.1</v>
      </c>
      <c r="F49">
        <v>140.69999999999999</v>
      </c>
      <c r="G49" s="49">
        <v>3.3798677443056535</v>
      </c>
      <c r="J49" s="25" t="s">
        <v>30</v>
      </c>
      <c r="K49" t="s">
        <v>86</v>
      </c>
      <c r="L49" s="25" t="s">
        <v>11</v>
      </c>
      <c r="M49">
        <v>112.6</v>
      </c>
      <c r="N49">
        <v>111.8</v>
      </c>
      <c r="O49" s="39">
        <v>-7.1047957371225328E-3</v>
      </c>
    </row>
    <row r="50" spans="2:15" x14ac:dyDescent="0.25">
      <c r="B50" s="25" t="s">
        <v>30</v>
      </c>
      <c r="C50" t="s">
        <v>86</v>
      </c>
      <c r="D50" s="25" t="s">
        <v>13</v>
      </c>
      <c r="E50">
        <v>137.4</v>
      </c>
      <c r="F50">
        <v>140.1</v>
      </c>
      <c r="G50" s="49">
        <v>1.9650655021833978</v>
      </c>
      <c r="J50" s="25" t="s">
        <v>30</v>
      </c>
      <c r="K50" t="s">
        <v>86</v>
      </c>
      <c r="L50" s="25" t="s">
        <v>3</v>
      </c>
      <c r="M50">
        <v>144.4</v>
      </c>
      <c r="N50">
        <v>142.80000000000001</v>
      </c>
      <c r="O50" s="39">
        <v>-1.1080332409972259E-2</v>
      </c>
    </row>
    <row r="51" spans="2:15" x14ac:dyDescent="0.25">
      <c r="B51" s="25" t="s">
        <v>30</v>
      </c>
      <c r="C51" t="s">
        <v>86</v>
      </c>
      <c r="D51" s="25" t="s">
        <v>14</v>
      </c>
      <c r="E51">
        <v>156.4</v>
      </c>
      <c r="F51">
        <v>159.19999999999999</v>
      </c>
      <c r="G51" s="49">
        <v>1.7902813299232627</v>
      </c>
      <c r="J51" s="25" t="s">
        <v>30</v>
      </c>
      <c r="K51" t="s">
        <v>86</v>
      </c>
      <c r="L51" s="25" t="s">
        <v>9</v>
      </c>
      <c r="M51">
        <v>152.30000000000001</v>
      </c>
      <c r="N51">
        <v>149.69999999999999</v>
      </c>
      <c r="O51" s="39">
        <v>-1.7071569271175459E-2</v>
      </c>
    </row>
    <row r="52" spans="2:15" x14ac:dyDescent="0.25">
      <c r="B52" s="25" t="s">
        <v>34</v>
      </c>
      <c r="C52" t="s">
        <v>86</v>
      </c>
      <c r="D52" s="25" t="s">
        <v>9</v>
      </c>
      <c r="E52">
        <v>132.6</v>
      </c>
      <c r="F52">
        <v>170.7</v>
      </c>
      <c r="G52" s="49">
        <v>28.733031674208142</v>
      </c>
      <c r="J52" s="25" t="s">
        <v>34</v>
      </c>
      <c r="K52" t="s">
        <v>86</v>
      </c>
      <c r="L52" s="25" t="s">
        <v>7</v>
      </c>
      <c r="M52">
        <v>131.19999999999999</v>
      </c>
      <c r="N52">
        <v>158.69999999999999</v>
      </c>
      <c r="O52" s="39">
        <v>0.20960365853658539</v>
      </c>
    </row>
    <row r="53" spans="2:15" x14ac:dyDescent="0.25">
      <c r="B53" s="25" t="s">
        <v>34</v>
      </c>
      <c r="C53" t="s">
        <v>86</v>
      </c>
      <c r="D53" s="25" t="s">
        <v>10</v>
      </c>
      <c r="E53">
        <v>121.8</v>
      </c>
      <c r="F53">
        <v>141.1</v>
      </c>
      <c r="G53" s="49">
        <v>15.845648604269291</v>
      </c>
      <c r="J53" s="25" t="s">
        <v>34</v>
      </c>
      <c r="K53" t="s">
        <v>86</v>
      </c>
      <c r="L53" s="25" t="s">
        <v>5</v>
      </c>
      <c r="M53">
        <v>148.1</v>
      </c>
      <c r="N53">
        <v>168.7</v>
      </c>
      <c r="O53" s="39">
        <v>0.13909520594193109</v>
      </c>
    </row>
    <row r="54" spans="2:15" x14ac:dyDescent="0.25">
      <c r="B54" s="25" t="s">
        <v>34</v>
      </c>
      <c r="C54" t="s">
        <v>86</v>
      </c>
      <c r="D54" s="25" t="s">
        <v>4</v>
      </c>
      <c r="E54">
        <v>153</v>
      </c>
      <c r="F54">
        <v>167.5</v>
      </c>
      <c r="G54" s="49">
        <v>9.477124183006536</v>
      </c>
      <c r="J54" s="25" t="s">
        <v>34</v>
      </c>
      <c r="K54" t="s">
        <v>86</v>
      </c>
      <c r="L54" s="25" t="s">
        <v>13</v>
      </c>
      <c r="M54">
        <v>136.69999999999999</v>
      </c>
      <c r="N54">
        <v>155.5</v>
      </c>
      <c r="O54" s="39">
        <v>0.13752743233357728</v>
      </c>
    </row>
    <row r="55" spans="2:15" x14ac:dyDescent="0.25">
      <c r="B55" s="25" t="s">
        <v>34</v>
      </c>
      <c r="C55" t="s">
        <v>86</v>
      </c>
      <c r="D55" s="25" t="s">
        <v>15</v>
      </c>
      <c r="E55">
        <v>138.1</v>
      </c>
      <c r="F55">
        <v>150.5</v>
      </c>
      <c r="G55" s="49">
        <v>8.9790007241129661</v>
      </c>
      <c r="J55" s="25" t="s">
        <v>34</v>
      </c>
      <c r="K55" t="s">
        <v>86</v>
      </c>
      <c r="L55" s="25" t="s">
        <v>10</v>
      </c>
      <c r="M55">
        <v>141.1</v>
      </c>
      <c r="N55">
        <v>158.80000000000001</v>
      </c>
      <c r="O55" s="39">
        <v>0.12544294826364294</v>
      </c>
    </row>
    <row r="56" spans="2:15" x14ac:dyDescent="0.25">
      <c r="B56" s="25" t="s">
        <v>34</v>
      </c>
      <c r="C56" t="s">
        <v>86</v>
      </c>
      <c r="D56" s="25" t="s">
        <v>12</v>
      </c>
      <c r="E56">
        <v>139.5</v>
      </c>
      <c r="F56">
        <v>152</v>
      </c>
      <c r="G56" s="49">
        <v>8.9605734767025087</v>
      </c>
      <c r="J56" s="25" t="s">
        <v>34</v>
      </c>
      <c r="K56" t="s">
        <v>87</v>
      </c>
      <c r="L56" s="25" t="s">
        <v>24</v>
      </c>
      <c r="M56">
        <v>129.9</v>
      </c>
      <c r="N56">
        <v>145.1</v>
      </c>
      <c r="O56" s="39">
        <v>0.11701308698999222</v>
      </c>
    </row>
    <row r="57" spans="2:15" x14ac:dyDescent="0.25">
      <c r="B57" s="25" t="s">
        <v>34</v>
      </c>
      <c r="C57" t="s">
        <v>86</v>
      </c>
      <c r="D57" s="25" t="s">
        <v>5</v>
      </c>
      <c r="E57">
        <v>140.30000000000001</v>
      </c>
      <c r="F57">
        <v>151.80000000000001</v>
      </c>
      <c r="G57" s="49">
        <v>8.1967213114754092</v>
      </c>
      <c r="J57" s="25" t="s">
        <v>34</v>
      </c>
      <c r="K57" t="s">
        <v>86</v>
      </c>
      <c r="L57" s="25" t="s">
        <v>4</v>
      </c>
      <c r="M57">
        <v>167</v>
      </c>
      <c r="N57">
        <v>186.5</v>
      </c>
      <c r="O57" s="39">
        <v>0.11676646706586827</v>
      </c>
    </row>
    <row r="58" spans="2:15" x14ac:dyDescent="0.25">
      <c r="B58" s="25" t="s">
        <v>34</v>
      </c>
      <c r="C58" t="s">
        <v>86</v>
      </c>
      <c r="D58" s="25" t="s">
        <v>7</v>
      </c>
      <c r="E58">
        <v>122</v>
      </c>
      <c r="F58">
        <v>131.4</v>
      </c>
      <c r="G58" s="49">
        <v>7.7049180327868889</v>
      </c>
      <c r="J58" s="25" t="s">
        <v>34</v>
      </c>
      <c r="K58" t="s">
        <v>86</v>
      </c>
      <c r="L58" s="25" t="s">
        <v>12</v>
      </c>
      <c r="M58">
        <v>153.19999999999999</v>
      </c>
      <c r="N58">
        <v>164.2</v>
      </c>
      <c r="O58" s="39">
        <v>7.1801566579634477E-2</v>
      </c>
    </row>
    <row r="59" spans="2:15" x14ac:dyDescent="0.25">
      <c r="B59" s="25" t="s">
        <v>34</v>
      </c>
      <c r="C59" t="s">
        <v>86</v>
      </c>
      <c r="D59" s="25" t="s">
        <v>6</v>
      </c>
      <c r="E59">
        <v>142.30000000000001</v>
      </c>
      <c r="F59">
        <v>150.80000000000001</v>
      </c>
      <c r="G59" s="49">
        <v>5.9732958538299368</v>
      </c>
      <c r="J59" s="25" t="s">
        <v>34</v>
      </c>
      <c r="K59" t="s">
        <v>88</v>
      </c>
      <c r="L59" s="25" t="s">
        <v>23</v>
      </c>
      <c r="M59">
        <v>152.30000000000001</v>
      </c>
      <c r="N59">
        <v>161.30000000000001</v>
      </c>
      <c r="O59" s="39">
        <v>5.9093893630991462E-2</v>
      </c>
    </row>
    <row r="60" spans="2:15" x14ac:dyDescent="0.25">
      <c r="B60" s="25" t="s">
        <v>34</v>
      </c>
      <c r="C60" t="s">
        <v>87</v>
      </c>
      <c r="D60" s="25" t="s">
        <v>21</v>
      </c>
      <c r="E60">
        <v>139.69999999999999</v>
      </c>
      <c r="F60">
        <v>147.19999999999999</v>
      </c>
      <c r="G60" s="49">
        <v>5.3686471009305663</v>
      </c>
      <c r="J60" s="25" t="s">
        <v>34</v>
      </c>
      <c r="K60" t="s">
        <v>86</v>
      </c>
      <c r="L60" s="25" t="s">
        <v>8</v>
      </c>
      <c r="M60">
        <v>142.5</v>
      </c>
      <c r="N60">
        <v>150.69999999999999</v>
      </c>
      <c r="O60" s="39">
        <v>5.7543859649122731E-2</v>
      </c>
    </row>
    <row r="61" spans="2:15" x14ac:dyDescent="0.25">
      <c r="B61" s="25" t="s">
        <v>34</v>
      </c>
      <c r="C61" t="s">
        <v>86</v>
      </c>
      <c r="D61" s="25" t="s">
        <v>3</v>
      </c>
      <c r="E61">
        <v>137.80000000000001</v>
      </c>
      <c r="F61">
        <v>144.80000000000001</v>
      </c>
      <c r="G61" s="49">
        <v>5.0798258345428149</v>
      </c>
      <c r="J61" s="25" t="s">
        <v>34</v>
      </c>
      <c r="K61" t="s">
        <v>86</v>
      </c>
      <c r="L61" s="25" t="s">
        <v>15</v>
      </c>
      <c r="M61">
        <v>148.9</v>
      </c>
      <c r="N61">
        <v>156.9</v>
      </c>
      <c r="O61" s="39">
        <v>5.3727333781061114E-2</v>
      </c>
    </row>
    <row r="62" spans="2:15" x14ac:dyDescent="0.25">
      <c r="B62" s="25" t="s">
        <v>34</v>
      </c>
      <c r="C62" t="s">
        <v>87</v>
      </c>
      <c r="D62" s="25" t="s">
        <v>24</v>
      </c>
      <c r="E62">
        <v>124.6</v>
      </c>
      <c r="F62">
        <v>130.30000000000001</v>
      </c>
      <c r="G62" s="49">
        <v>4.5746388443017798</v>
      </c>
      <c r="J62" s="25" t="s">
        <v>34</v>
      </c>
      <c r="K62" t="s">
        <v>86</v>
      </c>
      <c r="L62" s="25" t="s">
        <v>14</v>
      </c>
      <c r="M62">
        <v>159.6</v>
      </c>
      <c r="N62">
        <v>167.5</v>
      </c>
      <c r="O62" s="39">
        <v>4.9498746867167959E-2</v>
      </c>
    </row>
    <row r="63" spans="2:15" x14ac:dyDescent="0.25">
      <c r="B63" s="25" t="s">
        <v>34</v>
      </c>
      <c r="C63" t="s">
        <v>86</v>
      </c>
      <c r="D63" s="25" t="s">
        <v>11</v>
      </c>
      <c r="E63">
        <v>109</v>
      </c>
      <c r="F63">
        <v>113.6</v>
      </c>
      <c r="G63" s="49">
        <v>4.2201834862385272</v>
      </c>
      <c r="J63" s="25" t="s">
        <v>34</v>
      </c>
      <c r="K63" t="s">
        <v>87</v>
      </c>
      <c r="L63" s="25" t="s">
        <v>21</v>
      </c>
      <c r="M63">
        <v>148.9</v>
      </c>
      <c r="N63">
        <v>152.4</v>
      </c>
      <c r="O63" s="39">
        <v>2.3505708529214239E-2</v>
      </c>
    </row>
    <row r="64" spans="2:15" x14ac:dyDescent="0.25">
      <c r="B64" s="25" t="s">
        <v>34</v>
      </c>
      <c r="C64" t="s">
        <v>88</v>
      </c>
      <c r="D64" s="25" t="s">
        <v>23</v>
      </c>
      <c r="E64">
        <v>146.19999999999999</v>
      </c>
      <c r="F64">
        <v>151.69999999999999</v>
      </c>
      <c r="G64" s="49">
        <v>3.7619699042407659</v>
      </c>
      <c r="J64" s="25" t="s">
        <v>34</v>
      </c>
      <c r="K64" t="s">
        <v>86</v>
      </c>
      <c r="L64" s="25" t="s">
        <v>6</v>
      </c>
      <c r="M64">
        <v>151.5</v>
      </c>
      <c r="N64">
        <v>154.69999999999999</v>
      </c>
      <c r="O64" s="39">
        <v>2.1122112211221046E-2</v>
      </c>
    </row>
    <row r="65" spans="2:15" x14ac:dyDescent="0.25">
      <c r="B65" s="25" t="s">
        <v>34</v>
      </c>
      <c r="C65" t="s">
        <v>86</v>
      </c>
      <c r="D65" s="25" t="s">
        <v>8</v>
      </c>
      <c r="E65">
        <v>137.6</v>
      </c>
      <c r="F65">
        <v>141.80000000000001</v>
      </c>
      <c r="G65" s="49">
        <v>3.0523255813953614</v>
      </c>
      <c r="J65" s="25" t="s">
        <v>34</v>
      </c>
      <c r="K65" t="s">
        <v>86</v>
      </c>
      <c r="L65" s="25" t="s">
        <v>9</v>
      </c>
      <c r="M65">
        <v>157.30000000000001</v>
      </c>
      <c r="N65">
        <v>160</v>
      </c>
      <c r="O65" s="39">
        <v>1.716465352828982E-2</v>
      </c>
    </row>
    <row r="66" spans="2:15" x14ac:dyDescent="0.25">
      <c r="B66" s="25" t="s">
        <v>34</v>
      </c>
      <c r="C66" t="s">
        <v>86</v>
      </c>
      <c r="D66" s="25" t="s">
        <v>14</v>
      </c>
      <c r="E66">
        <v>155.19999999999999</v>
      </c>
      <c r="F66">
        <v>159.1</v>
      </c>
      <c r="G66" s="49">
        <v>2.5128865979381483</v>
      </c>
      <c r="J66" s="25" t="s">
        <v>34</v>
      </c>
      <c r="K66" t="s">
        <v>86</v>
      </c>
      <c r="L66" s="25" t="s">
        <v>11</v>
      </c>
      <c r="M66">
        <v>113.2</v>
      </c>
      <c r="N66">
        <v>112.8</v>
      </c>
      <c r="O66" s="39">
        <v>-3.5335689045936898E-3</v>
      </c>
    </row>
    <row r="67" spans="2:15" x14ac:dyDescent="0.25">
      <c r="B67" s="25" t="s">
        <v>34</v>
      </c>
      <c r="C67" t="s">
        <v>86</v>
      </c>
      <c r="D67" s="25" t="s">
        <v>13</v>
      </c>
      <c r="E67">
        <v>133.69999999999999</v>
      </c>
      <c r="F67">
        <v>136.5</v>
      </c>
      <c r="G67" s="49">
        <v>2.0942408376963439</v>
      </c>
      <c r="J67" s="25" t="s">
        <v>34</v>
      </c>
      <c r="K67" t="s">
        <v>86</v>
      </c>
      <c r="L67" s="25" t="s">
        <v>3</v>
      </c>
      <c r="M67">
        <v>145.1</v>
      </c>
      <c r="N67">
        <v>144.30000000000001</v>
      </c>
      <c r="O67" s="39">
        <v>-5.5134390075808615E-3</v>
      </c>
    </row>
    <row r="68" spans="2:15" x14ac:dyDescent="0.25">
      <c r="B68" s="25" t="s">
        <v>33</v>
      </c>
      <c r="C68" t="s">
        <v>86</v>
      </c>
      <c r="D68" s="25" t="s">
        <v>9</v>
      </c>
      <c r="E68">
        <v>141.19999999999999</v>
      </c>
      <c r="F68">
        <v>181.7</v>
      </c>
      <c r="G68" s="49">
        <v>28.682719546742213</v>
      </c>
      <c r="J68" s="25" t="s">
        <v>33</v>
      </c>
      <c r="K68" t="s">
        <v>86</v>
      </c>
      <c r="L68" s="25" t="s">
        <v>7</v>
      </c>
      <c r="M68">
        <v>127.5</v>
      </c>
      <c r="N68">
        <v>151.4</v>
      </c>
      <c r="O68" s="39">
        <v>0.18745098039215691</v>
      </c>
    </row>
    <row r="69" spans="2:15" x14ac:dyDescent="0.25">
      <c r="B69" s="25" t="s">
        <v>33</v>
      </c>
      <c r="C69" t="s">
        <v>86</v>
      </c>
      <c r="D69" s="25" t="s">
        <v>10</v>
      </c>
      <c r="E69">
        <v>120.7</v>
      </c>
      <c r="F69">
        <v>139.6</v>
      </c>
      <c r="G69" s="49">
        <v>15.658657829328906</v>
      </c>
      <c r="J69" s="25" t="s">
        <v>33</v>
      </c>
      <c r="K69" t="s">
        <v>86</v>
      </c>
      <c r="L69" s="25" t="s">
        <v>10</v>
      </c>
      <c r="M69">
        <v>139.69999999999999</v>
      </c>
      <c r="N69">
        <v>159.80000000000001</v>
      </c>
      <c r="O69" s="39">
        <v>0.14387974230493933</v>
      </c>
    </row>
    <row r="70" spans="2:15" x14ac:dyDescent="0.25">
      <c r="B70" s="25" t="s">
        <v>33</v>
      </c>
      <c r="C70" t="s">
        <v>86</v>
      </c>
      <c r="D70" s="25" t="s">
        <v>4</v>
      </c>
      <c r="E70">
        <v>151.1</v>
      </c>
      <c r="F70">
        <v>167.6</v>
      </c>
      <c r="G70" s="49">
        <v>10.919920582395765</v>
      </c>
      <c r="J70" s="25" t="s">
        <v>33</v>
      </c>
      <c r="K70" t="s">
        <v>86</v>
      </c>
      <c r="L70" s="25" t="s">
        <v>4</v>
      </c>
      <c r="M70">
        <v>167.5</v>
      </c>
      <c r="N70">
        <v>191.2</v>
      </c>
      <c r="O70" s="39">
        <v>0.14149253731343278</v>
      </c>
    </row>
    <row r="71" spans="2:15" x14ac:dyDescent="0.25">
      <c r="B71" s="25" t="s">
        <v>33</v>
      </c>
      <c r="C71" t="s">
        <v>86</v>
      </c>
      <c r="D71" s="25" t="s">
        <v>15</v>
      </c>
      <c r="E71">
        <v>139.6</v>
      </c>
      <c r="F71">
        <v>151.69999999999999</v>
      </c>
      <c r="G71" s="49">
        <v>8.6676217765042942</v>
      </c>
      <c r="J71" s="25" t="s">
        <v>33</v>
      </c>
      <c r="K71" t="s">
        <v>86</v>
      </c>
      <c r="L71" s="25" t="s">
        <v>5</v>
      </c>
      <c r="M71">
        <v>148.9</v>
      </c>
      <c r="N71">
        <v>169.9</v>
      </c>
      <c r="O71" s="39">
        <v>0.14103425117528542</v>
      </c>
    </row>
    <row r="72" spans="2:15" x14ac:dyDescent="0.25">
      <c r="B72" s="25" t="s">
        <v>33</v>
      </c>
      <c r="C72" t="s">
        <v>87</v>
      </c>
      <c r="D72" s="25" t="s">
        <v>21</v>
      </c>
      <c r="E72">
        <v>128.80000000000001</v>
      </c>
      <c r="F72">
        <v>138.9</v>
      </c>
      <c r="G72" s="49">
        <v>7.8416149068322936</v>
      </c>
      <c r="J72" s="25" t="s">
        <v>33</v>
      </c>
      <c r="K72" t="s">
        <v>86</v>
      </c>
      <c r="L72" s="25" t="s">
        <v>13</v>
      </c>
      <c r="M72">
        <v>131.9</v>
      </c>
      <c r="N72">
        <v>149.19999999999999</v>
      </c>
      <c r="O72" s="39">
        <v>0.13115996967399532</v>
      </c>
    </row>
    <row r="73" spans="2:15" x14ac:dyDescent="0.25">
      <c r="B73" s="25" t="s">
        <v>33</v>
      </c>
      <c r="C73" t="s">
        <v>86</v>
      </c>
      <c r="D73" s="25" t="s">
        <v>7</v>
      </c>
      <c r="E73">
        <v>118.4</v>
      </c>
      <c r="F73">
        <v>127.4</v>
      </c>
      <c r="G73" s="49">
        <v>7.6013513513513518</v>
      </c>
      <c r="J73" s="25" t="s">
        <v>33</v>
      </c>
      <c r="K73" t="s">
        <v>87</v>
      </c>
      <c r="L73" s="25" t="s">
        <v>24</v>
      </c>
      <c r="M73">
        <v>124.6</v>
      </c>
      <c r="N73">
        <v>140.5</v>
      </c>
      <c r="O73" s="39">
        <v>0.12760834670947035</v>
      </c>
    </row>
    <row r="74" spans="2:15" x14ac:dyDescent="0.25">
      <c r="B74" s="25" t="s">
        <v>33</v>
      </c>
      <c r="C74" t="s">
        <v>86</v>
      </c>
      <c r="D74" s="25" t="s">
        <v>5</v>
      </c>
      <c r="E74">
        <v>142.9</v>
      </c>
      <c r="F74">
        <v>153.1</v>
      </c>
      <c r="G74" s="49">
        <v>7.1378586424072701</v>
      </c>
      <c r="J74" s="25" t="s">
        <v>33</v>
      </c>
      <c r="K74" t="s">
        <v>86</v>
      </c>
      <c r="L74" s="25" t="s">
        <v>9</v>
      </c>
      <c r="M74">
        <v>167</v>
      </c>
      <c r="N74">
        <v>180.2</v>
      </c>
      <c r="O74" s="39">
        <v>7.9041916167664608E-2</v>
      </c>
    </row>
    <row r="75" spans="2:15" x14ac:dyDescent="0.25">
      <c r="B75" s="25" t="s">
        <v>33</v>
      </c>
      <c r="C75" t="s">
        <v>86</v>
      </c>
      <c r="D75" s="25" t="s">
        <v>12</v>
      </c>
      <c r="E75">
        <v>140.69999999999999</v>
      </c>
      <c r="F75">
        <v>150.4</v>
      </c>
      <c r="G75" s="49">
        <v>6.8941009239516831</v>
      </c>
      <c r="J75" s="25" t="s">
        <v>33</v>
      </c>
      <c r="K75" t="s">
        <v>88</v>
      </c>
      <c r="L75" s="25" t="s">
        <v>23</v>
      </c>
      <c r="M75">
        <v>145</v>
      </c>
      <c r="N75">
        <v>156.30000000000001</v>
      </c>
      <c r="O75" s="39">
        <v>7.7931034482758704E-2</v>
      </c>
    </row>
    <row r="76" spans="2:15" x14ac:dyDescent="0.25">
      <c r="B76" s="25" t="s">
        <v>33</v>
      </c>
      <c r="C76" t="s">
        <v>86</v>
      </c>
      <c r="D76" s="25" t="s">
        <v>6</v>
      </c>
      <c r="E76">
        <v>141.9</v>
      </c>
      <c r="F76">
        <v>150.69999999999999</v>
      </c>
      <c r="G76" s="49">
        <v>6.2015503875968863</v>
      </c>
      <c r="J76" s="25" t="s">
        <v>33</v>
      </c>
      <c r="K76" t="s">
        <v>86</v>
      </c>
      <c r="L76" s="25" t="s">
        <v>8</v>
      </c>
      <c r="M76">
        <v>143.30000000000001</v>
      </c>
      <c r="N76">
        <v>154</v>
      </c>
      <c r="O76" s="39">
        <v>7.4668527564549808E-2</v>
      </c>
    </row>
    <row r="77" spans="2:15" x14ac:dyDescent="0.25">
      <c r="B77" s="25" t="s">
        <v>33</v>
      </c>
      <c r="C77" t="s">
        <v>86</v>
      </c>
      <c r="D77" s="25" t="s">
        <v>3</v>
      </c>
      <c r="E77">
        <v>139.69999999999999</v>
      </c>
      <c r="F77">
        <v>146.19999999999999</v>
      </c>
      <c r="G77" s="49">
        <v>4.6528274874731572</v>
      </c>
      <c r="J77" s="25" t="s">
        <v>33</v>
      </c>
      <c r="K77" t="s">
        <v>86</v>
      </c>
      <c r="L77" s="25" t="s">
        <v>12</v>
      </c>
      <c r="M77">
        <v>151.5</v>
      </c>
      <c r="N77">
        <v>162.5</v>
      </c>
      <c r="O77" s="39">
        <v>7.2607260726072612E-2</v>
      </c>
    </row>
    <row r="78" spans="2:15" x14ac:dyDescent="0.25">
      <c r="B78" s="25" t="s">
        <v>33</v>
      </c>
      <c r="C78" t="s">
        <v>87</v>
      </c>
      <c r="D78" s="25" t="s">
        <v>24</v>
      </c>
      <c r="E78">
        <v>119.9</v>
      </c>
      <c r="F78">
        <v>125.2</v>
      </c>
      <c r="G78" s="49">
        <v>4.4203502919099229</v>
      </c>
      <c r="J78" s="25" t="s">
        <v>33</v>
      </c>
      <c r="K78" t="s">
        <v>86</v>
      </c>
      <c r="L78" s="25" t="s">
        <v>15</v>
      </c>
      <c r="M78">
        <v>150.1</v>
      </c>
      <c r="N78">
        <v>160.80000000000001</v>
      </c>
      <c r="O78" s="39">
        <v>7.1285809460359881E-2</v>
      </c>
    </row>
    <row r="79" spans="2:15" x14ac:dyDescent="0.25">
      <c r="B79" s="25" t="s">
        <v>33</v>
      </c>
      <c r="C79" t="s">
        <v>86</v>
      </c>
      <c r="D79" s="25" t="s">
        <v>11</v>
      </c>
      <c r="E79">
        <v>110.4</v>
      </c>
      <c r="F79">
        <v>114.6</v>
      </c>
      <c r="G79" s="49">
        <v>3.8043478260869463</v>
      </c>
      <c r="J79" s="25" t="s">
        <v>33</v>
      </c>
      <c r="K79" t="s">
        <v>86</v>
      </c>
      <c r="L79" s="25" t="s">
        <v>14</v>
      </c>
      <c r="M79">
        <v>159.1</v>
      </c>
      <c r="N79">
        <v>169.4</v>
      </c>
      <c r="O79" s="39">
        <v>6.4739157762413652E-2</v>
      </c>
    </row>
    <row r="80" spans="2:15" x14ac:dyDescent="0.25">
      <c r="B80" s="25" t="s">
        <v>33</v>
      </c>
      <c r="C80" t="s">
        <v>88</v>
      </c>
      <c r="D80" s="25" t="s">
        <v>23</v>
      </c>
      <c r="E80">
        <v>139.19999999999999</v>
      </c>
      <c r="F80">
        <v>144.4</v>
      </c>
      <c r="G80" s="49">
        <v>3.7356321839080588</v>
      </c>
      <c r="J80" s="25" t="s">
        <v>33</v>
      </c>
      <c r="K80" t="s">
        <v>87</v>
      </c>
      <c r="L80" s="25" t="s">
        <v>21</v>
      </c>
      <c r="M80">
        <v>141.4</v>
      </c>
      <c r="N80">
        <v>149.1</v>
      </c>
      <c r="O80" s="39">
        <v>5.4455445544554372E-2</v>
      </c>
    </row>
    <row r="81" spans="1:15" x14ac:dyDescent="0.25">
      <c r="B81" s="25" t="s">
        <v>33</v>
      </c>
      <c r="C81" t="s">
        <v>86</v>
      </c>
      <c r="D81" s="25" t="s">
        <v>14</v>
      </c>
      <c r="E81">
        <v>153.9</v>
      </c>
      <c r="F81">
        <v>159</v>
      </c>
      <c r="G81" s="49">
        <v>3.3138401559454156</v>
      </c>
      <c r="J81" s="25" t="s">
        <v>33</v>
      </c>
      <c r="K81" t="s">
        <v>86</v>
      </c>
      <c r="L81" s="25" t="s">
        <v>6</v>
      </c>
      <c r="M81">
        <v>151.1</v>
      </c>
      <c r="N81">
        <v>155.1</v>
      </c>
      <c r="O81" s="39">
        <v>2.6472534745201854E-2</v>
      </c>
    </row>
    <row r="82" spans="1:15" x14ac:dyDescent="0.25">
      <c r="B82" s="25" t="s">
        <v>33</v>
      </c>
      <c r="C82" t="s">
        <v>86</v>
      </c>
      <c r="D82" s="25" t="s">
        <v>8</v>
      </c>
      <c r="E82">
        <v>139.4</v>
      </c>
      <c r="F82">
        <v>143.1</v>
      </c>
      <c r="G82" s="49">
        <v>2.6542324246771796</v>
      </c>
      <c r="J82" s="25" t="s">
        <v>33</v>
      </c>
      <c r="K82" t="s">
        <v>86</v>
      </c>
      <c r="L82" s="25" t="s">
        <v>3</v>
      </c>
      <c r="M82">
        <v>146.5</v>
      </c>
      <c r="N82">
        <v>147.6</v>
      </c>
      <c r="O82" s="39">
        <v>7.5085324232081526E-3</v>
      </c>
    </row>
    <row r="83" spans="1:15" x14ac:dyDescent="0.25">
      <c r="B83" s="25" t="s">
        <v>33</v>
      </c>
      <c r="C83" t="s">
        <v>86</v>
      </c>
      <c r="D83" s="25" t="s">
        <v>13</v>
      </c>
      <c r="E83">
        <v>128.5</v>
      </c>
      <c r="F83">
        <v>131.5</v>
      </c>
      <c r="G83" s="49">
        <v>2.3346303501945527</v>
      </c>
      <c r="J83" s="25" t="s">
        <v>33</v>
      </c>
      <c r="K83" t="s">
        <v>86</v>
      </c>
      <c r="L83" s="25" t="s">
        <v>11</v>
      </c>
      <c r="M83">
        <v>114.4</v>
      </c>
      <c r="N83">
        <v>114.9</v>
      </c>
      <c r="O83" s="39">
        <v>4.3706293706293701E-3</v>
      </c>
    </row>
    <row r="84" spans="1:15" ht="18.75" x14ac:dyDescent="0.25">
      <c r="A84" s="23"/>
      <c r="B84" s="23"/>
      <c r="C84" s="23"/>
      <c r="D84" s="23"/>
      <c r="E84" s="23"/>
      <c r="F84" s="23"/>
      <c r="G84" s="23"/>
    </row>
    <row r="85" spans="1:15" ht="18.75" x14ac:dyDescent="0.25">
      <c r="A85" s="23"/>
      <c r="B85" s="23"/>
      <c r="C85" s="36" t="s">
        <v>0</v>
      </c>
      <c r="D85" t="s">
        <v>33</v>
      </c>
      <c r="E85" s="23"/>
      <c r="F85" s="23"/>
      <c r="G85" s="23"/>
      <c r="H85" s="23"/>
      <c r="I85" s="23"/>
      <c r="J85" s="23"/>
      <c r="K85" s="36" t="s">
        <v>0</v>
      </c>
      <c r="L85" t="s">
        <v>33</v>
      </c>
    </row>
    <row r="86" spans="1:15" ht="18.75" x14ac:dyDescent="0.25">
      <c r="A86" s="23"/>
      <c r="C86" s="23"/>
      <c r="D86" s="23"/>
      <c r="E86" s="23"/>
      <c r="F86" s="23"/>
      <c r="G86" s="23"/>
      <c r="H86" s="23"/>
      <c r="I86" s="23"/>
      <c r="J86" s="23"/>
    </row>
    <row r="87" spans="1:15" ht="18.75" x14ac:dyDescent="0.25">
      <c r="A87" s="23"/>
      <c r="C87" s="36" t="s">
        <v>74</v>
      </c>
      <c r="D87" t="s">
        <v>98</v>
      </c>
      <c r="E87" s="23"/>
      <c r="F87" s="23"/>
      <c r="G87" s="23"/>
      <c r="H87" s="23"/>
      <c r="I87" s="23"/>
      <c r="J87" s="23"/>
      <c r="K87" s="36" t="s">
        <v>74</v>
      </c>
      <c r="L87" t="s">
        <v>98</v>
      </c>
    </row>
    <row r="88" spans="1:15" ht="18.75" x14ac:dyDescent="0.25">
      <c r="A88" s="23"/>
      <c r="C88" s="37" t="s">
        <v>87</v>
      </c>
      <c r="D88" s="38">
        <v>6.1309825993711084E-2</v>
      </c>
      <c r="E88" s="23"/>
      <c r="F88" s="23"/>
      <c r="G88" s="23"/>
      <c r="H88" s="23"/>
      <c r="I88" s="23"/>
      <c r="J88" s="23"/>
      <c r="K88" s="37" t="s">
        <v>87</v>
      </c>
      <c r="L88" s="38">
        <v>9.103189612701236E-2</v>
      </c>
    </row>
    <row r="89" spans="1:15" ht="18.75" x14ac:dyDescent="0.25">
      <c r="A89" s="23"/>
      <c r="C89" s="37" t="s">
        <v>86</v>
      </c>
      <c r="D89" s="38">
        <v>8.3479737911273569E-2</v>
      </c>
      <c r="E89" s="23"/>
      <c r="F89" s="23"/>
      <c r="G89" s="23"/>
      <c r="H89" s="23"/>
      <c r="I89" s="23"/>
      <c r="J89" s="23"/>
      <c r="K89" s="37" t="s">
        <v>86</v>
      </c>
      <c r="L89" s="38">
        <v>8.8131680698454604E-2</v>
      </c>
    </row>
    <row r="90" spans="1:15" ht="18.75" x14ac:dyDescent="0.25">
      <c r="A90" s="23"/>
      <c r="C90" s="37" t="s">
        <v>88</v>
      </c>
      <c r="D90" s="38">
        <v>3.7356321839080588E-2</v>
      </c>
      <c r="E90" s="23"/>
      <c r="F90" s="23"/>
      <c r="G90" s="23"/>
      <c r="H90" s="23"/>
      <c r="I90" s="23"/>
      <c r="J90" s="23"/>
      <c r="K90" s="37" t="s">
        <v>88</v>
      </c>
      <c r="L90" s="38">
        <v>7.7931034482758704E-2</v>
      </c>
    </row>
    <row r="91" spans="1:15" ht="18.75" x14ac:dyDescent="0.25">
      <c r="A91" s="23"/>
      <c r="E91" s="23"/>
      <c r="F91" s="23"/>
      <c r="G91" s="23"/>
      <c r="H91" s="23"/>
      <c r="I91" s="23"/>
      <c r="J91" s="23"/>
    </row>
    <row r="92" spans="1:15" ht="18.75" x14ac:dyDescent="0.25">
      <c r="A92" s="23"/>
      <c r="E92" s="23"/>
      <c r="F92" s="23"/>
      <c r="G92" s="23"/>
      <c r="H92" s="23"/>
      <c r="I92" s="23"/>
      <c r="J92" s="23"/>
    </row>
    <row r="93" spans="1:15" ht="18.75" x14ac:dyDescent="0.25">
      <c r="A93" s="23"/>
      <c r="E93" s="23"/>
      <c r="F93" s="23"/>
      <c r="G93" s="23"/>
      <c r="H93" s="23"/>
      <c r="I93" s="23"/>
      <c r="J93" s="23"/>
    </row>
    <row r="94" spans="1:15" ht="18.75" x14ac:dyDescent="0.25">
      <c r="A94" s="23"/>
      <c r="E94" s="23"/>
      <c r="F94" s="23"/>
      <c r="G94" s="23"/>
      <c r="H94" s="23"/>
      <c r="I94" s="23"/>
      <c r="J94" s="23"/>
    </row>
    <row r="95" spans="1:15" ht="18.75" x14ac:dyDescent="0.25">
      <c r="A95" s="23"/>
      <c r="E95" s="23"/>
      <c r="F95" s="23"/>
      <c r="G95" s="23"/>
      <c r="H95" s="23"/>
      <c r="I95" s="23"/>
      <c r="J95" s="23"/>
    </row>
    <row r="96" spans="1:15" ht="18.75" x14ac:dyDescent="0.25">
      <c r="A96" s="19"/>
      <c r="E96" s="19"/>
      <c r="F96" s="19"/>
      <c r="G96" s="19"/>
      <c r="H96" s="19"/>
      <c r="I96" s="19"/>
      <c r="J96" s="19"/>
    </row>
    <row r="97" spans="1:10" ht="18.75" x14ac:dyDescent="0.25">
      <c r="A97" s="19"/>
      <c r="E97" s="19"/>
      <c r="F97" s="19"/>
      <c r="G97" s="19"/>
      <c r="H97" s="19"/>
      <c r="I97" s="19"/>
      <c r="J97" s="19"/>
    </row>
    <row r="122" spans="2:14" x14ac:dyDescent="0.25">
      <c r="F122" s="120" t="s">
        <v>99</v>
      </c>
      <c r="G122" s="120"/>
      <c r="H122" s="120"/>
      <c r="I122" s="120"/>
      <c r="J122" s="120"/>
      <c r="K122" s="120"/>
    </row>
    <row r="123" spans="2:14" x14ac:dyDescent="0.25">
      <c r="F123" s="120"/>
      <c r="G123" s="120"/>
      <c r="H123" s="120"/>
      <c r="I123" s="120"/>
      <c r="J123" s="120"/>
      <c r="K123" s="120"/>
    </row>
    <row r="124" spans="2:14" x14ac:dyDescent="0.25">
      <c r="F124" s="120"/>
      <c r="G124" s="120"/>
      <c r="H124" s="120"/>
      <c r="I124" s="120"/>
      <c r="J124" s="120"/>
      <c r="K124" s="120"/>
    </row>
    <row r="126" spans="2:14" x14ac:dyDescent="0.25">
      <c r="B126" s="121" t="s">
        <v>100</v>
      </c>
      <c r="C126" s="121"/>
      <c r="D126" s="121"/>
      <c r="E126" s="121"/>
      <c r="F126" s="121"/>
      <c r="J126" s="122" t="s">
        <v>101</v>
      </c>
      <c r="K126" s="122"/>
      <c r="L126" s="122"/>
      <c r="M126" s="122"/>
      <c r="N126" s="122"/>
    </row>
    <row r="127" spans="2:14" x14ac:dyDescent="0.25">
      <c r="B127" s="121"/>
      <c r="C127" s="121"/>
      <c r="D127" s="121"/>
      <c r="E127" s="121"/>
      <c r="F127" s="121"/>
      <c r="J127" s="122"/>
      <c r="K127" s="122"/>
      <c r="L127" s="122"/>
      <c r="M127" s="122"/>
      <c r="N127" s="122"/>
    </row>
    <row r="128" spans="2:14" x14ac:dyDescent="0.25">
      <c r="B128" s="121"/>
      <c r="C128" s="121"/>
      <c r="D128" s="121"/>
      <c r="E128" s="121"/>
      <c r="F128" s="121"/>
      <c r="J128" s="122"/>
      <c r="K128" s="122"/>
      <c r="L128" s="122"/>
      <c r="M128" s="122"/>
      <c r="N128" s="122"/>
    </row>
    <row r="129" spans="2:14" x14ac:dyDescent="0.25">
      <c r="B129" s="121"/>
      <c r="C129" s="121"/>
      <c r="D129" s="121"/>
      <c r="E129" s="121"/>
      <c r="F129" s="121"/>
      <c r="J129" s="122"/>
      <c r="K129" s="122"/>
      <c r="L129" s="122"/>
      <c r="M129" s="122"/>
      <c r="N129" s="122"/>
    </row>
    <row r="131" spans="2:14" x14ac:dyDescent="0.25">
      <c r="E131" s="123" t="s">
        <v>102</v>
      </c>
      <c r="F131" s="123"/>
      <c r="G131" s="123"/>
      <c r="H131" s="123"/>
      <c r="I131" s="123"/>
      <c r="J131" s="123"/>
      <c r="K131" s="123"/>
    </row>
    <row r="132" spans="2:14" x14ac:dyDescent="0.25">
      <c r="E132" s="123"/>
      <c r="F132" s="123"/>
      <c r="G132" s="123"/>
      <c r="H132" s="123"/>
      <c r="I132" s="123"/>
      <c r="J132" s="123"/>
      <c r="K132" s="123"/>
    </row>
    <row r="133" spans="2:14" x14ac:dyDescent="0.25">
      <c r="E133" s="123"/>
      <c r="F133" s="123"/>
      <c r="G133" s="123"/>
      <c r="H133" s="123"/>
      <c r="I133" s="123"/>
      <c r="J133" s="123"/>
      <c r="K133" s="123"/>
    </row>
    <row r="134" spans="2:14" x14ac:dyDescent="0.25">
      <c r="E134" s="123"/>
      <c r="F134" s="123"/>
      <c r="G134" s="123"/>
      <c r="H134" s="123"/>
      <c r="I134" s="123"/>
      <c r="J134" s="123"/>
      <c r="K134" s="123"/>
    </row>
    <row r="135" spans="2:14" x14ac:dyDescent="0.25">
      <c r="E135" s="123"/>
      <c r="F135" s="123"/>
      <c r="G135" s="123"/>
      <c r="H135" s="123"/>
      <c r="I135" s="123"/>
      <c r="J135" s="123"/>
      <c r="K135" s="123"/>
    </row>
    <row r="136" spans="2:14" x14ac:dyDescent="0.25">
      <c r="E136" s="123"/>
      <c r="F136" s="123"/>
      <c r="G136" s="123"/>
      <c r="H136" s="123"/>
      <c r="I136" s="123"/>
      <c r="J136" s="123"/>
      <c r="K136" s="123"/>
    </row>
    <row r="137" spans="2:14" x14ac:dyDescent="0.25">
      <c r="E137" s="123"/>
      <c r="F137" s="123"/>
      <c r="G137" s="123"/>
      <c r="H137" s="123"/>
      <c r="I137" s="123"/>
      <c r="J137" s="123"/>
      <c r="K137" s="123"/>
    </row>
  </sheetData>
  <mergeCells count="9">
    <mergeCell ref="F122:K124"/>
    <mergeCell ref="B126:F129"/>
    <mergeCell ref="J126:N129"/>
    <mergeCell ref="E131:K137"/>
    <mergeCell ref="K32:N34"/>
    <mergeCell ref="C32:F34"/>
    <mergeCell ref="A20:C22"/>
    <mergeCell ref="A7:C9"/>
    <mergeCell ref="A1:P4"/>
  </mergeCells>
  <phoneticPr fontId="28" type="noConversion"/>
  <pageMargins left="0.7" right="0.7" top="0.75" bottom="0.75" header="0.3" footer="0.3"/>
  <drawing r:id="rId3"/>
  <tableParts count="4">
    <tablePart r:id="rId4"/>
    <tablePart r:id="rId5"/>
    <tablePart r:id="rId6"/>
    <tablePart r:id="rId7"/>
  </tableParts>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4D57F-789C-44E3-9615-59CE21D925CB}">
  <dimension ref="A1:AD323"/>
  <sheetViews>
    <sheetView topLeftCell="A219" zoomScale="40" zoomScaleNormal="40" workbookViewId="0">
      <selection activeCell="K291" sqref="K291"/>
    </sheetView>
  </sheetViews>
  <sheetFormatPr defaultRowHeight="15" x14ac:dyDescent="0.25"/>
  <cols>
    <col min="1" max="1" width="11.42578125" customWidth="1"/>
    <col min="2" max="2" width="33.42578125" bestFit="1" customWidth="1"/>
    <col min="3" max="3" width="18.28515625" bestFit="1" customWidth="1"/>
    <col min="4" max="4" width="13.5703125" bestFit="1" customWidth="1"/>
    <col min="5" max="5" width="25.85546875" customWidth="1"/>
    <col min="6" max="6" width="19.42578125" customWidth="1"/>
    <col min="7" max="7" width="10.5703125" customWidth="1"/>
    <col min="8" max="8" width="17.42578125" customWidth="1"/>
    <col min="9" max="9" width="29.140625" customWidth="1"/>
    <col min="10" max="10" width="34.28515625" customWidth="1"/>
    <col min="11" max="11" width="11.7109375" customWidth="1"/>
    <col min="12" max="12" width="34.5703125" customWidth="1"/>
    <col min="13" max="13" width="50.42578125" customWidth="1"/>
    <col min="14" max="14" width="28.5703125" customWidth="1"/>
    <col min="15" max="15" width="40.140625" customWidth="1"/>
    <col min="16" max="16" width="13.7109375" customWidth="1"/>
    <col min="17" max="17" width="15" customWidth="1"/>
    <col min="18" max="18" width="31.140625" customWidth="1"/>
    <col min="19" max="19" width="13.5703125" customWidth="1"/>
    <col min="20" max="20" width="20.5703125" customWidth="1"/>
    <col min="21" max="21" width="42.140625" customWidth="1"/>
    <col min="22" max="22" width="11.5703125" customWidth="1"/>
    <col min="23" max="23" width="41.140625" customWidth="1"/>
    <col min="24" max="24" width="38" customWidth="1"/>
    <col min="25" max="25" width="15.85546875" customWidth="1"/>
    <col min="26" max="26" width="35.5703125" customWidth="1"/>
    <col min="27" max="27" width="21.5703125" customWidth="1"/>
  </cols>
  <sheetData>
    <row r="1" spans="1:29" ht="15" customHeight="1" x14ac:dyDescent="0.25">
      <c r="A1" s="124" t="s">
        <v>116</v>
      </c>
      <c r="B1" s="124"/>
      <c r="C1" s="124"/>
      <c r="D1" s="124"/>
      <c r="E1" s="124"/>
      <c r="F1" s="124"/>
      <c r="G1" s="124"/>
      <c r="H1" s="124"/>
      <c r="I1" s="124"/>
      <c r="J1" s="124"/>
      <c r="K1" s="124"/>
      <c r="M1" s="19"/>
      <c r="N1" s="19"/>
      <c r="O1" s="19"/>
      <c r="P1" s="19"/>
      <c r="Q1" s="19"/>
      <c r="R1" s="19"/>
      <c r="S1" s="19"/>
      <c r="T1" s="19"/>
    </row>
    <row r="2" spans="1:29" ht="15" customHeight="1" x14ac:dyDescent="0.25">
      <c r="A2" s="124"/>
      <c r="B2" s="124"/>
      <c r="C2" s="124"/>
      <c r="D2" s="124"/>
      <c r="E2" s="124"/>
      <c r="F2" s="124"/>
      <c r="G2" s="124"/>
      <c r="H2" s="124"/>
      <c r="I2" s="124"/>
      <c r="J2" s="124"/>
      <c r="K2" s="124"/>
      <c r="M2" s="19"/>
      <c r="N2" s="19"/>
      <c r="O2" s="19"/>
      <c r="P2" s="19"/>
      <c r="Q2" s="19"/>
      <c r="R2" s="19"/>
      <c r="S2" s="19"/>
      <c r="T2" s="19"/>
    </row>
    <row r="3" spans="1:29" ht="15" customHeight="1" x14ac:dyDescent="0.25">
      <c r="A3" s="124"/>
      <c r="B3" s="124"/>
      <c r="C3" s="124"/>
      <c r="D3" s="124"/>
      <c r="E3" s="124"/>
      <c r="F3" s="124"/>
      <c r="G3" s="124"/>
      <c r="H3" s="124"/>
      <c r="I3" s="124"/>
      <c r="J3" s="124"/>
      <c r="K3" s="124"/>
      <c r="M3" s="19"/>
      <c r="N3" s="19"/>
      <c r="O3" s="19"/>
      <c r="P3" s="19"/>
      <c r="Q3" s="19"/>
      <c r="R3" s="19"/>
      <c r="S3" s="19"/>
      <c r="T3" s="19"/>
    </row>
    <row r="4" spans="1:29" ht="15" customHeight="1" x14ac:dyDescent="0.25">
      <c r="A4" s="124"/>
      <c r="B4" s="124"/>
      <c r="C4" s="124"/>
      <c r="D4" s="124"/>
      <c r="E4" s="124"/>
      <c r="F4" s="124"/>
      <c r="G4" s="124"/>
      <c r="H4" s="124"/>
      <c r="I4" s="124"/>
      <c r="J4" s="124"/>
      <c r="K4" s="124"/>
      <c r="M4" s="19"/>
      <c r="N4" s="19"/>
      <c r="O4" s="19"/>
      <c r="P4" s="19"/>
      <c r="Q4" s="19"/>
      <c r="R4" s="19"/>
      <c r="S4" s="19"/>
      <c r="T4" s="19"/>
    </row>
    <row r="5" spans="1:29" ht="15" customHeight="1" x14ac:dyDescent="0.25">
      <c r="A5" s="124"/>
      <c r="B5" s="124"/>
      <c r="C5" s="124"/>
      <c r="D5" s="124"/>
      <c r="E5" s="124"/>
      <c r="F5" s="124"/>
      <c r="G5" s="124"/>
      <c r="H5" s="124"/>
      <c r="I5" s="124"/>
      <c r="J5" s="124"/>
      <c r="K5" s="124"/>
      <c r="M5" s="19"/>
      <c r="N5" s="19"/>
      <c r="O5" s="19"/>
      <c r="P5" s="19"/>
      <c r="Q5" s="19"/>
      <c r="R5" s="19"/>
      <c r="S5" s="19"/>
      <c r="T5" s="19"/>
    </row>
    <row r="6" spans="1:29" ht="15" customHeight="1" x14ac:dyDescent="0.25">
      <c r="A6" s="124"/>
      <c r="B6" s="124"/>
      <c r="C6" s="124"/>
      <c r="D6" s="124"/>
      <c r="E6" s="124"/>
      <c r="F6" s="124"/>
      <c r="G6" s="124"/>
      <c r="H6" s="124"/>
      <c r="I6" s="124"/>
      <c r="J6" s="124"/>
      <c r="K6" s="124"/>
      <c r="M6" s="19"/>
      <c r="N6" s="19"/>
      <c r="O6" s="19"/>
      <c r="P6" s="19"/>
      <c r="Q6" s="19"/>
      <c r="R6" s="19"/>
      <c r="S6" s="19"/>
      <c r="T6" s="19"/>
    </row>
    <row r="9" spans="1:29" x14ac:dyDescent="0.25">
      <c r="A9" s="147" t="s">
        <v>105</v>
      </c>
      <c r="B9" s="148"/>
      <c r="C9" s="148"/>
      <c r="D9" s="149"/>
    </row>
    <row r="10" spans="1:29" x14ac:dyDescent="0.25">
      <c r="A10" s="150"/>
      <c r="B10" s="151"/>
      <c r="C10" s="151"/>
      <c r="D10" s="152"/>
    </row>
    <row r="11" spans="1:29" ht="19.5" x14ac:dyDescent="0.4">
      <c r="A11" s="4" t="s">
        <v>0</v>
      </c>
      <c r="B11" s="5" t="s">
        <v>1</v>
      </c>
      <c r="C11" s="5" t="s">
        <v>2</v>
      </c>
      <c r="D11" s="5" t="s">
        <v>3</v>
      </c>
      <c r="E11" s="5" t="s">
        <v>4</v>
      </c>
      <c r="F11" s="5" t="s">
        <v>5</v>
      </c>
      <c r="G11" s="5" t="s">
        <v>6</v>
      </c>
      <c r="H11" s="5" t="s">
        <v>7</v>
      </c>
      <c r="I11" s="5" t="s">
        <v>8</v>
      </c>
      <c r="J11" s="5" t="s">
        <v>9</v>
      </c>
      <c r="K11" s="5" t="s">
        <v>10</v>
      </c>
      <c r="L11" s="5" t="s">
        <v>11</v>
      </c>
      <c r="M11" s="5" t="s">
        <v>12</v>
      </c>
      <c r="N11" s="5" t="s">
        <v>13</v>
      </c>
      <c r="O11" s="5" t="s">
        <v>14</v>
      </c>
      <c r="P11" s="5" t="s">
        <v>15</v>
      </c>
      <c r="Q11" s="5" t="s">
        <v>16</v>
      </c>
      <c r="R11" s="5" t="s">
        <v>17</v>
      </c>
      <c r="S11" s="5" t="s">
        <v>18</v>
      </c>
      <c r="T11" s="5" t="s">
        <v>19</v>
      </c>
      <c r="U11" s="5" t="s">
        <v>20</v>
      </c>
      <c r="V11" s="5" t="s">
        <v>21</v>
      </c>
      <c r="W11" s="5" t="s">
        <v>22</v>
      </c>
      <c r="X11" s="5" t="s">
        <v>23</v>
      </c>
      <c r="Y11" s="5" t="s">
        <v>24</v>
      </c>
      <c r="Z11" s="5" t="s">
        <v>25</v>
      </c>
      <c r="AA11" s="5" t="s">
        <v>26</v>
      </c>
      <c r="AB11" s="5" t="s">
        <v>27</v>
      </c>
      <c r="AC11" s="6" t="s">
        <v>28</v>
      </c>
    </row>
    <row r="12" spans="1:29" x14ac:dyDescent="0.25">
      <c r="A12" s="52" t="s">
        <v>30</v>
      </c>
      <c r="B12" s="2">
        <v>2020</v>
      </c>
      <c r="C12" s="2" t="s">
        <v>46</v>
      </c>
      <c r="D12" s="2">
        <v>144.6</v>
      </c>
      <c r="E12" s="2">
        <v>188.5</v>
      </c>
      <c r="F12" s="2">
        <v>173.4</v>
      </c>
      <c r="G12" s="2">
        <v>154</v>
      </c>
      <c r="H12" s="2">
        <v>150</v>
      </c>
      <c r="I12" s="2">
        <v>145.9</v>
      </c>
      <c r="J12" s="2">
        <v>225.2</v>
      </c>
      <c r="K12" s="2">
        <v>159.5</v>
      </c>
      <c r="L12" s="2">
        <v>114.4</v>
      </c>
      <c r="M12" s="2">
        <v>163.5</v>
      </c>
      <c r="N12" s="2">
        <v>153.4</v>
      </c>
      <c r="O12" s="2">
        <v>163.6</v>
      </c>
      <c r="P12" s="2">
        <v>164.5</v>
      </c>
      <c r="Q12" s="2">
        <v>183.6</v>
      </c>
      <c r="R12" s="2">
        <v>157</v>
      </c>
      <c r="S12" s="2">
        <v>151.6</v>
      </c>
      <c r="T12" s="2">
        <v>156.30000000000001</v>
      </c>
      <c r="U12" s="2" t="s">
        <v>32</v>
      </c>
      <c r="V12" s="2">
        <v>148.69999999999999</v>
      </c>
      <c r="W12" s="2">
        <v>153.4</v>
      </c>
      <c r="X12" s="2">
        <v>161.6</v>
      </c>
      <c r="Y12" s="2">
        <v>146.4</v>
      </c>
      <c r="Z12" s="2">
        <v>153.9</v>
      </c>
      <c r="AA12" s="2">
        <v>162.9</v>
      </c>
      <c r="AB12" s="2">
        <v>156.6</v>
      </c>
      <c r="AC12" s="51">
        <v>155.19999999999999</v>
      </c>
    </row>
    <row r="13" spans="1:29" x14ac:dyDescent="0.25">
      <c r="A13" s="52" t="s">
        <v>30</v>
      </c>
      <c r="B13" s="2">
        <v>2021</v>
      </c>
      <c r="C13" s="2" t="s">
        <v>31</v>
      </c>
      <c r="D13" s="2">
        <v>143.4</v>
      </c>
      <c r="E13" s="2">
        <v>187.5</v>
      </c>
      <c r="F13" s="2">
        <v>173.4</v>
      </c>
      <c r="G13" s="2">
        <v>154</v>
      </c>
      <c r="H13" s="2">
        <v>154.80000000000001</v>
      </c>
      <c r="I13" s="2">
        <v>147</v>
      </c>
      <c r="J13" s="2">
        <v>187.8</v>
      </c>
      <c r="K13" s="2">
        <v>159.5</v>
      </c>
      <c r="L13" s="2">
        <v>113.8</v>
      </c>
      <c r="M13" s="2">
        <v>164.5</v>
      </c>
      <c r="N13" s="2">
        <v>156.1</v>
      </c>
      <c r="O13" s="2">
        <v>164.3</v>
      </c>
      <c r="P13" s="2">
        <v>159.6</v>
      </c>
      <c r="Q13" s="2">
        <v>184.6</v>
      </c>
      <c r="R13" s="2">
        <v>157.5</v>
      </c>
      <c r="S13" s="2">
        <v>152.4</v>
      </c>
      <c r="T13" s="2">
        <v>156.80000000000001</v>
      </c>
      <c r="U13" s="2" t="s">
        <v>32</v>
      </c>
      <c r="V13" s="2">
        <v>150.9</v>
      </c>
      <c r="W13" s="2">
        <v>153.9</v>
      </c>
      <c r="X13" s="2">
        <v>162.5</v>
      </c>
      <c r="Y13" s="2">
        <v>147.5</v>
      </c>
      <c r="Z13" s="2">
        <v>155.1</v>
      </c>
      <c r="AA13" s="2">
        <v>163.5</v>
      </c>
      <c r="AB13" s="2">
        <v>156.19999999999999</v>
      </c>
      <c r="AC13" s="51">
        <v>155.9</v>
      </c>
    </row>
    <row r="14" spans="1:29" x14ac:dyDescent="0.25">
      <c r="A14" s="52" t="s">
        <v>30</v>
      </c>
      <c r="B14" s="2">
        <v>2021</v>
      </c>
      <c r="C14" s="2" t="s">
        <v>35</v>
      </c>
      <c r="D14" s="2">
        <v>142.80000000000001</v>
      </c>
      <c r="E14" s="2">
        <v>184</v>
      </c>
      <c r="F14" s="2">
        <v>168</v>
      </c>
      <c r="G14" s="2">
        <v>154.4</v>
      </c>
      <c r="H14" s="2">
        <v>163</v>
      </c>
      <c r="I14" s="2">
        <v>147.80000000000001</v>
      </c>
      <c r="J14" s="2">
        <v>149.69999999999999</v>
      </c>
      <c r="K14" s="2">
        <v>158.30000000000001</v>
      </c>
      <c r="L14" s="2">
        <v>111.8</v>
      </c>
      <c r="M14" s="2">
        <v>165</v>
      </c>
      <c r="N14" s="2">
        <v>160</v>
      </c>
      <c r="O14" s="2">
        <v>165.8</v>
      </c>
      <c r="P14" s="2">
        <v>154.69999999999999</v>
      </c>
      <c r="Q14" s="2">
        <v>186.5</v>
      </c>
      <c r="R14" s="2">
        <v>159.1</v>
      </c>
      <c r="S14" s="2">
        <v>153.9</v>
      </c>
      <c r="T14" s="2">
        <v>158.4</v>
      </c>
      <c r="U14" s="2" t="s">
        <v>32</v>
      </c>
      <c r="V14" s="2">
        <v>154.4</v>
      </c>
      <c r="W14" s="2">
        <v>154.80000000000001</v>
      </c>
      <c r="X14" s="2">
        <v>164.3</v>
      </c>
      <c r="Y14" s="2">
        <v>150.19999999999999</v>
      </c>
      <c r="Z14" s="2">
        <v>157</v>
      </c>
      <c r="AA14" s="2">
        <v>163.6</v>
      </c>
      <c r="AB14" s="2">
        <v>155.19999999999999</v>
      </c>
      <c r="AC14" s="51">
        <v>157.19999999999999</v>
      </c>
    </row>
    <row r="15" spans="1:29" x14ac:dyDescent="0.25">
      <c r="A15" s="52" t="s">
        <v>30</v>
      </c>
      <c r="B15" s="2">
        <v>2021</v>
      </c>
      <c r="C15" s="2" t="s">
        <v>36</v>
      </c>
      <c r="D15" s="2">
        <v>142.5</v>
      </c>
      <c r="E15" s="2">
        <v>189.4</v>
      </c>
      <c r="F15" s="2">
        <v>163.19999999999999</v>
      </c>
      <c r="G15" s="2">
        <v>154.5</v>
      </c>
      <c r="H15" s="2">
        <v>168.2</v>
      </c>
      <c r="I15" s="2">
        <v>150.5</v>
      </c>
      <c r="J15" s="2">
        <v>141</v>
      </c>
      <c r="K15" s="2">
        <v>159.19999999999999</v>
      </c>
      <c r="L15" s="2">
        <v>111.7</v>
      </c>
      <c r="M15" s="2">
        <v>164</v>
      </c>
      <c r="N15" s="2">
        <v>160.6</v>
      </c>
      <c r="O15" s="2">
        <v>166.4</v>
      </c>
      <c r="P15" s="2">
        <v>154.5</v>
      </c>
      <c r="Q15" s="2">
        <v>186.1</v>
      </c>
      <c r="R15" s="2">
        <v>159.6</v>
      </c>
      <c r="S15" s="2">
        <v>154.4</v>
      </c>
      <c r="T15" s="2">
        <v>158.9</v>
      </c>
      <c r="U15" s="2" t="s">
        <v>32</v>
      </c>
      <c r="V15" s="2">
        <v>156</v>
      </c>
      <c r="W15" s="2">
        <v>154.80000000000001</v>
      </c>
      <c r="X15" s="2">
        <v>164.6</v>
      </c>
      <c r="Y15" s="2">
        <v>151.30000000000001</v>
      </c>
      <c r="Z15" s="2">
        <v>157.80000000000001</v>
      </c>
      <c r="AA15" s="2">
        <v>163.80000000000001</v>
      </c>
      <c r="AB15" s="2">
        <v>153.1</v>
      </c>
      <c r="AC15" s="51">
        <v>157.30000000000001</v>
      </c>
    </row>
    <row r="16" spans="1:29" x14ac:dyDescent="0.25">
      <c r="A16" s="52" t="s">
        <v>30</v>
      </c>
      <c r="B16" s="2">
        <v>2021</v>
      </c>
      <c r="C16" s="2" t="s">
        <v>37</v>
      </c>
      <c r="D16" s="2">
        <v>142.69999999999999</v>
      </c>
      <c r="E16" s="2">
        <v>195.5</v>
      </c>
      <c r="F16" s="2">
        <v>163.4</v>
      </c>
      <c r="G16" s="2">
        <v>155</v>
      </c>
      <c r="H16" s="2">
        <v>175.2</v>
      </c>
      <c r="I16" s="2">
        <v>160.6</v>
      </c>
      <c r="J16" s="2">
        <v>135.1</v>
      </c>
      <c r="K16" s="2">
        <v>161.1</v>
      </c>
      <c r="L16" s="2">
        <v>112.2</v>
      </c>
      <c r="M16" s="2">
        <v>164.4</v>
      </c>
      <c r="N16" s="2">
        <v>161.9</v>
      </c>
      <c r="O16" s="2">
        <v>166.8</v>
      </c>
      <c r="P16" s="2">
        <v>155.6</v>
      </c>
      <c r="Q16" s="2">
        <v>186.8</v>
      </c>
      <c r="R16" s="2">
        <v>160.69999999999999</v>
      </c>
      <c r="S16" s="2">
        <v>155.1</v>
      </c>
      <c r="T16" s="2">
        <v>159.9</v>
      </c>
      <c r="U16" s="2" t="s">
        <v>32</v>
      </c>
      <c r="V16" s="2">
        <v>156</v>
      </c>
      <c r="W16" s="2">
        <v>155.5</v>
      </c>
      <c r="X16" s="2">
        <v>165.3</v>
      </c>
      <c r="Y16" s="2">
        <v>151.69999999999999</v>
      </c>
      <c r="Z16" s="2">
        <v>158.6</v>
      </c>
      <c r="AA16" s="2">
        <v>164.1</v>
      </c>
      <c r="AB16" s="2">
        <v>154.6</v>
      </c>
      <c r="AC16" s="51">
        <v>158</v>
      </c>
    </row>
    <row r="17" spans="1:29" x14ac:dyDescent="0.25">
      <c r="A17" s="52" t="s">
        <v>30</v>
      </c>
      <c r="B17" s="2">
        <v>2021</v>
      </c>
      <c r="C17" s="2" t="s">
        <v>38</v>
      </c>
      <c r="D17" s="2">
        <v>145.1</v>
      </c>
      <c r="E17" s="2">
        <v>198.5</v>
      </c>
      <c r="F17" s="2">
        <v>168.6</v>
      </c>
      <c r="G17" s="2">
        <v>155.80000000000001</v>
      </c>
      <c r="H17" s="2">
        <v>184.4</v>
      </c>
      <c r="I17" s="2">
        <v>162.30000000000001</v>
      </c>
      <c r="J17" s="2">
        <v>138.4</v>
      </c>
      <c r="K17" s="2">
        <v>165.1</v>
      </c>
      <c r="L17" s="2">
        <v>114.3</v>
      </c>
      <c r="M17" s="2">
        <v>169.7</v>
      </c>
      <c r="N17" s="2">
        <v>164.6</v>
      </c>
      <c r="O17" s="2">
        <v>169.8</v>
      </c>
      <c r="P17" s="2">
        <v>158.69999999999999</v>
      </c>
      <c r="Q17" s="2">
        <v>189.6</v>
      </c>
      <c r="R17" s="2">
        <v>165.3</v>
      </c>
      <c r="S17" s="2">
        <v>160.6</v>
      </c>
      <c r="T17" s="2">
        <v>164.5</v>
      </c>
      <c r="U17" s="2" t="s">
        <v>32</v>
      </c>
      <c r="V17" s="2">
        <v>161.69999999999999</v>
      </c>
      <c r="W17" s="2">
        <v>158.80000000000001</v>
      </c>
      <c r="X17" s="2">
        <v>169.1</v>
      </c>
      <c r="Y17" s="2">
        <v>153.19999999999999</v>
      </c>
      <c r="Z17" s="2">
        <v>160</v>
      </c>
      <c r="AA17" s="2">
        <v>167.6</v>
      </c>
      <c r="AB17" s="2">
        <v>159.30000000000001</v>
      </c>
      <c r="AC17" s="51">
        <v>161.1</v>
      </c>
    </row>
    <row r="18" spans="1:29" x14ac:dyDescent="0.25">
      <c r="A18" s="52" t="s">
        <v>30</v>
      </c>
      <c r="B18" s="2">
        <v>2021</v>
      </c>
      <c r="C18" s="2" t="s">
        <v>39</v>
      </c>
      <c r="D18" s="2">
        <v>145.6</v>
      </c>
      <c r="E18" s="2">
        <v>200.1</v>
      </c>
      <c r="F18" s="2">
        <v>179.3</v>
      </c>
      <c r="G18" s="2">
        <v>156.1</v>
      </c>
      <c r="H18" s="2">
        <v>190.4</v>
      </c>
      <c r="I18" s="2">
        <v>158.6</v>
      </c>
      <c r="J18" s="2">
        <v>144.69999999999999</v>
      </c>
      <c r="K18" s="2">
        <v>165.5</v>
      </c>
      <c r="L18" s="2">
        <v>114.6</v>
      </c>
      <c r="M18" s="2">
        <v>170</v>
      </c>
      <c r="N18" s="2">
        <v>165.5</v>
      </c>
      <c r="O18" s="2">
        <v>171.7</v>
      </c>
      <c r="P18" s="2">
        <v>160.5</v>
      </c>
      <c r="Q18" s="2">
        <v>189.1</v>
      </c>
      <c r="R18" s="2">
        <v>165.3</v>
      </c>
      <c r="S18" s="2">
        <v>159.9</v>
      </c>
      <c r="T18" s="2">
        <v>164.6</v>
      </c>
      <c r="U18" s="2" t="s">
        <v>32</v>
      </c>
      <c r="V18" s="2">
        <v>162.1</v>
      </c>
      <c r="W18" s="2">
        <v>159.19999999999999</v>
      </c>
      <c r="X18" s="2">
        <v>169.7</v>
      </c>
      <c r="Y18" s="2">
        <v>154.19999999999999</v>
      </c>
      <c r="Z18" s="2">
        <v>160.4</v>
      </c>
      <c r="AA18" s="2">
        <v>166.8</v>
      </c>
      <c r="AB18" s="2">
        <v>159.4</v>
      </c>
      <c r="AC18" s="51">
        <v>161.5</v>
      </c>
    </row>
    <row r="19" spans="1:29" x14ac:dyDescent="0.25">
      <c r="A19" s="52" t="s">
        <v>30</v>
      </c>
      <c r="B19" s="2">
        <v>2021</v>
      </c>
      <c r="C19" s="2" t="s">
        <v>40</v>
      </c>
      <c r="D19" s="2">
        <v>145.1</v>
      </c>
      <c r="E19" s="2">
        <v>204.5</v>
      </c>
      <c r="F19" s="2">
        <v>180.4</v>
      </c>
      <c r="G19" s="2">
        <v>157.1</v>
      </c>
      <c r="H19" s="2">
        <v>188.7</v>
      </c>
      <c r="I19" s="2">
        <v>157.69999999999999</v>
      </c>
      <c r="J19" s="2">
        <v>152.80000000000001</v>
      </c>
      <c r="K19" s="2">
        <v>163.6</v>
      </c>
      <c r="L19" s="2">
        <v>113.9</v>
      </c>
      <c r="M19" s="2">
        <v>169.7</v>
      </c>
      <c r="N19" s="2">
        <v>166.2</v>
      </c>
      <c r="O19" s="2">
        <v>171</v>
      </c>
      <c r="P19" s="2">
        <v>161.69999999999999</v>
      </c>
      <c r="Q19" s="2">
        <v>189.7</v>
      </c>
      <c r="R19" s="2">
        <v>166</v>
      </c>
      <c r="S19" s="2">
        <v>161.1</v>
      </c>
      <c r="T19" s="2">
        <v>165.3</v>
      </c>
      <c r="U19" s="2" t="s">
        <v>32</v>
      </c>
      <c r="V19" s="2">
        <v>162.5</v>
      </c>
      <c r="W19" s="2">
        <v>160.30000000000001</v>
      </c>
      <c r="X19" s="2">
        <v>170.4</v>
      </c>
      <c r="Y19" s="2">
        <v>157.1</v>
      </c>
      <c r="Z19" s="2">
        <v>160.69999999999999</v>
      </c>
      <c r="AA19" s="2">
        <v>167.2</v>
      </c>
      <c r="AB19" s="2">
        <v>160.4</v>
      </c>
      <c r="AC19" s="51">
        <v>162.80000000000001</v>
      </c>
    </row>
    <row r="20" spans="1:29" x14ac:dyDescent="0.25">
      <c r="A20" s="52" t="s">
        <v>30</v>
      </c>
      <c r="B20" s="2">
        <v>2021</v>
      </c>
      <c r="C20" s="2" t="s">
        <v>41</v>
      </c>
      <c r="D20" s="2">
        <v>144.9</v>
      </c>
      <c r="E20" s="2">
        <v>202.3</v>
      </c>
      <c r="F20" s="2">
        <v>176.5</v>
      </c>
      <c r="G20" s="2">
        <v>157.5</v>
      </c>
      <c r="H20" s="2">
        <v>190.9</v>
      </c>
      <c r="I20" s="2">
        <v>155.69999999999999</v>
      </c>
      <c r="J20" s="2">
        <v>153.9</v>
      </c>
      <c r="K20" s="2">
        <v>162.80000000000001</v>
      </c>
      <c r="L20" s="2">
        <v>115.2</v>
      </c>
      <c r="M20" s="2">
        <v>169.8</v>
      </c>
      <c r="N20" s="2">
        <v>167.6</v>
      </c>
      <c r="O20" s="2">
        <v>171.9</v>
      </c>
      <c r="P20" s="2">
        <v>161.80000000000001</v>
      </c>
      <c r="Q20" s="2">
        <v>190.2</v>
      </c>
      <c r="R20" s="2">
        <v>167</v>
      </c>
      <c r="S20" s="2">
        <v>162.6</v>
      </c>
      <c r="T20" s="2">
        <v>166.3</v>
      </c>
      <c r="U20" s="2" t="s">
        <v>32</v>
      </c>
      <c r="V20" s="2">
        <v>163.1</v>
      </c>
      <c r="W20" s="2">
        <v>160.9</v>
      </c>
      <c r="X20" s="2">
        <v>171.1</v>
      </c>
      <c r="Y20" s="2">
        <v>157.69999999999999</v>
      </c>
      <c r="Z20" s="2">
        <v>161.1</v>
      </c>
      <c r="AA20" s="2">
        <v>167.5</v>
      </c>
      <c r="AB20" s="2">
        <v>160.30000000000001</v>
      </c>
      <c r="AC20" s="51">
        <v>163.30000000000001</v>
      </c>
    </row>
    <row r="21" spans="1:29" x14ac:dyDescent="0.25">
      <c r="A21" s="52" t="s">
        <v>30</v>
      </c>
      <c r="B21" s="2">
        <v>2021</v>
      </c>
      <c r="C21" s="2" t="s">
        <v>42</v>
      </c>
      <c r="D21" s="2">
        <v>145.4</v>
      </c>
      <c r="E21" s="2">
        <v>202.1</v>
      </c>
      <c r="F21" s="2">
        <v>172</v>
      </c>
      <c r="G21" s="2">
        <v>158</v>
      </c>
      <c r="H21" s="2">
        <v>195.5</v>
      </c>
      <c r="I21" s="2">
        <v>152.69999999999999</v>
      </c>
      <c r="J21" s="2">
        <v>151.4</v>
      </c>
      <c r="K21" s="2">
        <v>163.9</v>
      </c>
      <c r="L21" s="2">
        <v>119.3</v>
      </c>
      <c r="M21" s="2">
        <v>170.1</v>
      </c>
      <c r="N21" s="2">
        <v>168.3</v>
      </c>
      <c r="O21" s="2">
        <v>172.8</v>
      </c>
      <c r="P21" s="2">
        <v>162.1</v>
      </c>
      <c r="Q21" s="2">
        <v>190.5</v>
      </c>
      <c r="R21" s="2">
        <v>167.7</v>
      </c>
      <c r="S21" s="2">
        <v>163.6</v>
      </c>
      <c r="T21" s="2">
        <v>167.1</v>
      </c>
      <c r="U21" s="2" t="s">
        <v>32</v>
      </c>
      <c r="V21" s="2">
        <v>163.69999999999999</v>
      </c>
      <c r="W21" s="2">
        <v>161.30000000000001</v>
      </c>
      <c r="X21" s="2">
        <v>171.9</v>
      </c>
      <c r="Y21" s="2">
        <v>157.80000000000001</v>
      </c>
      <c r="Z21" s="2">
        <v>162.69999999999999</v>
      </c>
      <c r="AA21" s="2">
        <v>168.5</v>
      </c>
      <c r="AB21" s="2">
        <v>160.19999999999999</v>
      </c>
      <c r="AC21" s="51">
        <v>163.80000000000001</v>
      </c>
    </row>
    <row r="22" spans="1:29" x14ac:dyDescent="0.25">
      <c r="A22" s="52" t="s">
        <v>30</v>
      </c>
      <c r="B22" s="2">
        <v>2021</v>
      </c>
      <c r="C22" s="2" t="s">
        <v>43</v>
      </c>
      <c r="D22" s="2">
        <v>146.1</v>
      </c>
      <c r="E22" s="2">
        <v>202.5</v>
      </c>
      <c r="F22" s="2">
        <v>170.1</v>
      </c>
      <c r="G22" s="2">
        <v>158.4</v>
      </c>
      <c r="H22" s="2">
        <v>198.8</v>
      </c>
      <c r="I22" s="2">
        <v>152.6</v>
      </c>
      <c r="J22" s="2">
        <v>170.4</v>
      </c>
      <c r="K22" s="2">
        <v>165.2</v>
      </c>
      <c r="L22" s="2">
        <v>121.6</v>
      </c>
      <c r="M22" s="2">
        <v>170.6</v>
      </c>
      <c r="N22" s="2">
        <v>168.8</v>
      </c>
      <c r="O22" s="2">
        <v>173.6</v>
      </c>
      <c r="P22" s="2">
        <v>165.5</v>
      </c>
      <c r="Q22" s="2">
        <v>191.2</v>
      </c>
      <c r="R22" s="2">
        <v>168.9</v>
      </c>
      <c r="S22" s="2">
        <v>164.8</v>
      </c>
      <c r="T22" s="2">
        <v>168.3</v>
      </c>
      <c r="U22" s="2" t="s">
        <v>32</v>
      </c>
      <c r="V22" s="2">
        <v>165.5</v>
      </c>
      <c r="W22" s="2">
        <v>162</v>
      </c>
      <c r="X22" s="2">
        <v>172.5</v>
      </c>
      <c r="Y22" s="2">
        <v>159.5</v>
      </c>
      <c r="Z22" s="2">
        <v>163.19999999999999</v>
      </c>
      <c r="AA22" s="2">
        <v>169</v>
      </c>
      <c r="AB22" s="2">
        <v>161.1</v>
      </c>
      <c r="AC22" s="51">
        <v>164.7</v>
      </c>
    </row>
    <row r="23" spans="1:29" x14ac:dyDescent="0.25">
      <c r="A23" s="52" t="s">
        <v>30</v>
      </c>
      <c r="B23" s="2">
        <v>2021</v>
      </c>
      <c r="C23" s="2" t="s">
        <v>45</v>
      </c>
      <c r="D23" s="2">
        <v>146.9</v>
      </c>
      <c r="E23" s="2">
        <v>199.8</v>
      </c>
      <c r="F23" s="2">
        <v>171.5</v>
      </c>
      <c r="G23" s="2">
        <v>159.1</v>
      </c>
      <c r="H23" s="2">
        <v>198.4</v>
      </c>
      <c r="I23" s="2">
        <v>153.19999999999999</v>
      </c>
      <c r="J23" s="2">
        <v>183.9</v>
      </c>
      <c r="K23" s="2">
        <v>165.4</v>
      </c>
      <c r="L23" s="2">
        <v>122.1</v>
      </c>
      <c r="M23" s="2">
        <v>170.8</v>
      </c>
      <c r="N23" s="2">
        <v>169.1</v>
      </c>
      <c r="O23" s="2">
        <v>174.3</v>
      </c>
      <c r="P23" s="2">
        <v>167.5</v>
      </c>
      <c r="Q23" s="2">
        <v>191.4</v>
      </c>
      <c r="R23" s="2">
        <v>170.4</v>
      </c>
      <c r="S23" s="2">
        <v>166</v>
      </c>
      <c r="T23" s="2">
        <v>169.8</v>
      </c>
      <c r="U23" s="2" t="s">
        <v>32</v>
      </c>
      <c r="V23" s="2">
        <v>165.3</v>
      </c>
      <c r="W23" s="2">
        <v>162.9</v>
      </c>
      <c r="X23" s="2">
        <v>173.4</v>
      </c>
      <c r="Y23" s="2">
        <v>158.9</v>
      </c>
      <c r="Z23" s="2">
        <v>163.80000000000001</v>
      </c>
      <c r="AA23" s="2">
        <v>169.3</v>
      </c>
      <c r="AB23" s="2">
        <v>162.4</v>
      </c>
      <c r="AC23" s="51">
        <v>165.2</v>
      </c>
    </row>
    <row r="24" spans="1:29" x14ac:dyDescent="0.25">
      <c r="A24" s="52" t="s">
        <v>30</v>
      </c>
      <c r="B24" s="2">
        <v>2021</v>
      </c>
      <c r="C24" s="2" t="s">
        <v>46</v>
      </c>
      <c r="D24" s="2">
        <v>147.4</v>
      </c>
      <c r="E24" s="2">
        <v>197</v>
      </c>
      <c r="F24" s="2">
        <v>176.5</v>
      </c>
      <c r="G24" s="2">
        <v>159.80000000000001</v>
      </c>
      <c r="H24" s="2">
        <v>195.8</v>
      </c>
      <c r="I24" s="2">
        <v>152</v>
      </c>
      <c r="J24" s="2">
        <v>172.3</v>
      </c>
      <c r="K24" s="2">
        <v>164.5</v>
      </c>
      <c r="L24" s="2">
        <v>120.6</v>
      </c>
      <c r="M24" s="2">
        <v>171.7</v>
      </c>
      <c r="N24" s="2">
        <v>169.7</v>
      </c>
      <c r="O24" s="2">
        <v>175.1</v>
      </c>
      <c r="P24" s="2">
        <v>165.8</v>
      </c>
      <c r="Q24" s="2">
        <v>190.8</v>
      </c>
      <c r="R24" s="2">
        <v>171.8</v>
      </c>
      <c r="S24" s="2">
        <v>167.3</v>
      </c>
      <c r="T24" s="2">
        <v>171.2</v>
      </c>
      <c r="U24" s="2" t="s">
        <v>32</v>
      </c>
      <c r="V24" s="2">
        <v>165.6</v>
      </c>
      <c r="W24" s="2">
        <v>163.9</v>
      </c>
      <c r="X24" s="2">
        <v>174</v>
      </c>
      <c r="Y24" s="2">
        <v>160.1</v>
      </c>
      <c r="Z24" s="2">
        <v>164.5</v>
      </c>
      <c r="AA24" s="2">
        <v>169.7</v>
      </c>
      <c r="AB24" s="2">
        <v>162.80000000000001</v>
      </c>
      <c r="AC24" s="51">
        <v>166</v>
      </c>
    </row>
    <row r="25" spans="1:29" x14ac:dyDescent="0.25">
      <c r="A25" s="52" t="s">
        <v>30</v>
      </c>
      <c r="B25" s="2">
        <v>2022</v>
      </c>
      <c r="C25" s="2" t="s">
        <v>31</v>
      </c>
      <c r="D25" s="2">
        <v>148.30000000000001</v>
      </c>
      <c r="E25" s="2">
        <v>196.9</v>
      </c>
      <c r="F25" s="2">
        <v>178</v>
      </c>
      <c r="G25" s="2">
        <v>160.5</v>
      </c>
      <c r="H25" s="2">
        <v>192.6</v>
      </c>
      <c r="I25" s="2">
        <v>151.19999999999999</v>
      </c>
      <c r="J25" s="2">
        <v>159.19999999999999</v>
      </c>
      <c r="K25" s="2">
        <v>164</v>
      </c>
      <c r="L25" s="2">
        <v>119.3</v>
      </c>
      <c r="M25" s="2">
        <v>173.3</v>
      </c>
      <c r="N25" s="2">
        <v>169.8</v>
      </c>
      <c r="O25" s="2">
        <v>175.8</v>
      </c>
      <c r="P25" s="2">
        <v>164.1</v>
      </c>
      <c r="Q25" s="2">
        <v>190.7</v>
      </c>
      <c r="R25" s="2">
        <v>173.2</v>
      </c>
      <c r="S25" s="2">
        <v>169.3</v>
      </c>
      <c r="T25" s="2">
        <v>172.7</v>
      </c>
      <c r="U25" s="2" t="s">
        <v>32</v>
      </c>
      <c r="V25" s="2">
        <v>165.8</v>
      </c>
      <c r="W25" s="2">
        <v>164.9</v>
      </c>
      <c r="X25" s="2">
        <v>174.7</v>
      </c>
      <c r="Y25" s="2">
        <v>160.80000000000001</v>
      </c>
      <c r="Z25" s="2">
        <v>164.9</v>
      </c>
      <c r="AA25" s="2">
        <v>169.9</v>
      </c>
      <c r="AB25" s="2">
        <v>163.19999999999999</v>
      </c>
      <c r="AC25" s="51">
        <v>166.6</v>
      </c>
    </row>
    <row r="26" spans="1:29" x14ac:dyDescent="0.25">
      <c r="A26" s="52" t="s">
        <v>30</v>
      </c>
      <c r="B26" s="2">
        <v>2022</v>
      </c>
      <c r="C26" s="2" t="s">
        <v>35</v>
      </c>
      <c r="D26" s="2">
        <v>148.80000000000001</v>
      </c>
      <c r="E26" s="2">
        <v>198.1</v>
      </c>
      <c r="F26" s="2">
        <v>175.5</v>
      </c>
      <c r="G26" s="2">
        <v>160.69999999999999</v>
      </c>
      <c r="H26" s="2">
        <v>192.6</v>
      </c>
      <c r="I26" s="2">
        <v>151.4</v>
      </c>
      <c r="J26" s="2">
        <v>155.19999999999999</v>
      </c>
      <c r="K26" s="2">
        <v>163.9</v>
      </c>
      <c r="L26" s="2">
        <v>118.1</v>
      </c>
      <c r="M26" s="2">
        <v>175.4</v>
      </c>
      <c r="N26" s="2">
        <v>170.5</v>
      </c>
      <c r="O26" s="2">
        <v>176.3</v>
      </c>
      <c r="P26" s="2">
        <v>163.9</v>
      </c>
      <c r="Q26" s="2">
        <v>191.5</v>
      </c>
      <c r="R26" s="2">
        <v>174.1</v>
      </c>
      <c r="S26" s="2">
        <v>171</v>
      </c>
      <c r="T26" s="2">
        <v>173.7</v>
      </c>
      <c r="U26" s="2" t="s">
        <v>32</v>
      </c>
      <c r="V26" s="2">
        <v>167.4</v>
      </c>
      <c r="W26" s="2">
        <v>165.7</v>
      </c>
      <c r="X26" s="2">
        <v>175.3</v>
      </c>
      <c r="Y26" s="2">
        <v>161.19999999999999</v>
      </c>
      <c r="Z26" s="2">
        <v>165.5</v>
      </c>
      <c r="AA26" s="2">
        <v>170.3</v>
      </c>
      <c r="AB26" s="2">
        <v>164.5</v>
      </c>
      <c r="AC26" s="51">
        <v>167.3</v>
      </c>
    </row>
    <row r="27" spans="1:29" x14ac:dyDescent="0.25">
      <c r="A27" s="52" t="s">
        <v>30</v>
      </c>
      <c r="B27" s="2">
        <v>2022</v>
      </c>
      <c r="C27" s="2" t="s">
        <v>36</v>
      </c>
      <c r="D27" s="2">
        <v>150.19999999999999</v>
      </c>
      <c r="E27" s="2">
        <v>208</v>
      </c>
      <c r="F27" s="2">
        <v>167.9</v>
      </c>
      <c r="G27" s="2">
        <v>162</v>
      </c>
      <c r="H27" s="2">
        <v>203.1</v>
      </c>
      <c r="I27" s="2">
        <v>155.9</v>
      </c>
      <c r="J27" s="2">
        <v>155.80000000000001</v>
      </c>
      <c r="K27" s="2">
        <v>164.2</v>
      </c>
      <c r="L27" s="2">
        <v>118.1</v>
      </c>
      <c r="M27" s="2">
        <v>178.7</v>
      </c>
      <c r="N27" s="2">
        <v>171.2</v>
      </c>
      <c r="O27" s="2">
        <v>177.4</v>
      </c>
      <c r="P27" s="2">
        <v>166.6</v>
      </c>
      <c r="Q27" s="2">
        <v>192.3</v>
      </c>
      <c r="R27" s="2">
        <v>175.4</v>
      </c>
      <c r="S27" s="2">
        <v>173.2</v>
      </c>
      <c r="T27" s="2">
        <v>175.1</v>
      </c>
      <c r="U27" s="2" t="s">
        <v>32</v>
      </c>
      <c r="V27" s="2">
        <v>168.9</v>
      </c>
      <c r="W27" s="2">
        <v>166.5</v>
      </c>
      <c r="X27" s="2">
        <v>176</v>
      </c>
      <c r="Y27" s="2">
        <v>162</v>
      </c>
      <c r="Z27" s="2">
        <v>166.6</v>
      </c>
      <c r="AA27" s="2">
        <v>170.6</v>
      </c>
      <c r="AB27" s="2">
        <v>167.4</v>
      </c>
      <c r="AC27" s="51">
        <v>168.3</v>
      </c>
    </row>
    <row r="28" spans="1:29" x14ac:dyDescent="0.25">
      <c r="A28" s="52" t="s">
        <v>30</v>
      </c>
      <c r="B28" s="2">
        <v>2022</v>
      </c>
      <c r="C28" s="2" t="s">
        <v>37</v>
      </c>
      <c r="D28" s="2">
        <v>151.80000000000001</v>
      </c>
      <c r="E28" s="2">
        <v>209.7</v>
      </c>
      <c r="F28" s="2">
        <v>164.5</v>
      </c>
      <c r="G28" s="2">
        <v>163.80000000000001</v>
      </c>
      <c r="H28" s="2">
        <v>207.4</v>
      </c>
      <c r="I28" s="2">
        <v>169.7</v>
      </c>
      <c r="J28" s="2">
        <v>153.6</v>
      </c>
      <c r="K28" s="2">
        <v>165.1</v>
      </c>
      <c r="L28" s="2">
        <v>118.2</v>
      </c>
      <c r="M28" s="2">
        <v>182.9</v>
      </c>
      <c r="N28" s="2">
        <v>172.4</v>
      </c>
      <c r="O28" s="2">
        <v>178.9</v>
      </c>
      <c r="P28" s="2">
        <v>168.6</v>
      </c>
      <c r="Q28" s="2">
        <v>192.8</v>
      </c>
      <c r="R28" s="2">
        <v>177.5</v>
      </c>
      <c r="S28" s="2">
        <v>175.1</v>
      </c>
      <c r="T28" s="2">
        <v>177.1</v>
      </c>
      <c r="U28" s="2" t="s">
        <v>32</v>
      </c>
      <c r="V28" s="2">
        <v>173.3</v>
      </c>
      <c r="W28" s="2">
        <v>167.7</v>
      </c>
      <c r="X28" s="2">
        <v>177</v>
      </c>
      <c r="Y28" s="2">
        <v>166.2</v>
      </c>
      <c r="Z28" s="2">
        <v>167.2</v>
      </c>
      <c r="AA28" s="2">
        <v>170.9</v>
      </c>
      <c r="AB28" s="2">
        <v>169</v>
      </c>
      <c r="AC28" s="51">
        <v>170.2</v>
      </c>
    </row>
    <row r="29" spans="1:29" x14ac:dyDescent="0.25">
      <c r="A29" s="52" t="s">
        <v>30</v>
      </c>
      <c r="B29" s="2">
        <v>2022</v>
      </c>
      <c r="C29" s="2" t="s">
        <v>38</v>
      </c>
      <c r="D29" s="2">
        <v>152.9</v>
      </c>
      <c r="E29" s="2">
        <v>214.7</v>
      </c>
      <c r="F29" s="2">
        <v>161.4</v>
      </c>
      <c r="G29" s="2">
        <v>164.6</v>
      </c>
      <c r="H29" s="2">
        <v>209.9</v>
      </c>
      <c r="I29" s="2">
        <v>168</v>
      </c>
      <c r="J29" s="2">
        <v>160.4</v>
      </c>
      <c r="K29" s="2">
        <v>165</v>
      </c>
      <c r="L29" s="2">
        <v>118.9</v>
      </c>
      <c r="M29" s="2">
        <v>186.6</v>
      </c>
      <c r="N29" s="2">
        <v>173.2</v>
      </c>
      <c r="O29" s="2">
        <v>180.4</v>
      </c>
      <c r="P29" s="2">
        <v>170.8</v>
      </c>
      <c r="Q29" s="2">
        <v>192.9</v>
      </c>
      <c r="R29" s="2">
        <v>179.3</v>
      </c>
      <c r="S29" s="2">
        <v>177.2</v>
      </c>
      <c r="T29" s="2">
        <v>179</v>
      </c>
      <c r="U29" s="2" t="s">
        <v>32</v>
      </c>
      <c r="V29" s="2">
        <v>175.3</v>
      </c>
      <c r="W29" s="2">
        <v>168.9</v>
      </c>
      <c r="X29" s="2">
        <v>177.7</v>
      </c>
      <c r="Y29" s="2">
        <v>167.1</v>
      </c>
      <c r="Z29" s="2">
        <v>167.6</v>
      </c>
      <c r="AA29" s="2">
        <v>171.8</v>
      </c>
      <c r="AB29" s="2">
        <v>168.5</v>
      </c>
      <c r="AC29" s="51">
        <v>170.9</v>
      </c>
    </row>
    <row r="30" spans="1:29" x14ac:dyDescent="0.25">
      <c r="A30" s="52" t="s">
        <v>30</v>
      </c>
      <c r="B30" s="2">
        <v>2022</v>
      </c>
      <c r="C30" s="2" t="s">
        <v>39</v>
      </c>
      <c r="D30" s="2">
        <v>153.80000000000001</v>
      </c>
      <c r="E30" s="2">
        <v>217.2</v>
      </c>
      <c r="F30" s="2">
        <v>169.6</v>
      </c>
      <c r="G30" s="2">
        <v>165.4</v>
      </c>
      <c r="H30" s="2">
        <v>208.1</v>
      </c>
      <c r="I30" s="2">
        <v>165.8</v>
      </c>
      <c r="J30" s="2">
        <v>167.3</v>
      </c>
      <c r="K30" s="2">
        <v>164.6</v>
      </c>
      <c r="L30" s="2">
        <v>119.1</v>
      </c>
      <c r="M30" s="2">
        <v>188.9</v>
      </c>
      <c r="N30" s="2">
        <v>174.2</v>
      </c>
      <c r="O30" s="2">
        <v>181.9</v>
      </c>
      <c r="P30" s="2">
        <v>172.4</v>
      </c>
      <c r="Q30" s="2">
        <v>192.9</v>
      </c>
      <c r="R30" s="2">
        <v>180.7</v>
      </c>
      <c r="S30" s="2">
        <v>178.7</v>
      </c>
      <c r="T30" s="2">
        <v>180.4</v>
      </c>
      <c r="U30" s="2" t="s">
        <v>32</v>
      </c>
      <c r="V30" s="2">
        <v>176.7</v>
      </c>
      <c r="W30" s="2">
        <v>170.3</v>
      </c>
      <c r="X30" s="2">
        <v>178.2</v>
      </c>
      <c r="Y30" s="2">
        <v>165.5</v>
      </c>
      <c r="Z30" s="2">
        <v>168</v>
      </c>
      <c r="AA30" s="2">
        <v>172.6</v>
      </c>
      <c r="AB30" s="2">
        <v>169.5</v>
      </c>
      <c r="AC30" s="51">
        <v>171</v>
      </c>
    </row>
    <row r="31" spans="1:29" x14ac:dyDescent="0.25">
      <c r="A31" s="52" t="s">
        <v>30</v>
      </c>
      <c r="B31" s="2">
        <v>2022</v>
      </c>
      <c r="C31" s="2" t="s">
        <v>40</v>
      </c>
      <c r="D31" s="2">
        <v>155.19999999999999</v>
      </c>
      <c r="E31" s="2">
        <v>210.8</v>
      </c>
      <c r="F31" s="2">
        <v>174.3</v>
      </c>
      <c r="G31" s="2">
        <v>166.3</v>
      </c>
      <c r="H31" s="2">
        <v>202.2</v>
      </c>
      <c r="I31" s="2">
        <v>169.6</v>
      </c>
      <c r="J31" s="2">
        <v>168.6</v>
      </c>
      <c r="K31" s="2">
        <v>164.4</v>
      </c>
      <c r="L31" s="2">
        <v>119.2</v>
      </c>
      <c r="M31" s="2">
        <v>191.8</v>
      </c>
      <c r="N31" s="2">
        <v>174.5</v>
      </c>
      <c r="O31" s="2">
        <v>183.1</v>
      </c>
      <c r="P31" s="2">
        <v>172.5</v>
      </c>
      <c r="Q31" s="2">
        <v>193.2</v>
      </c>
      <c r="R31" s="2">
        <v>182</v>
      </c>
      <c r="S31" s="2">
        <v>180.3</v>
      </c>
      <c r="T31" s="2">
        <v>181.7</v>
      </c>
      <c r="U31" s="2" t="s">
        <v>32</v>
      </c>
      <c r="V31" s="2">
        <v>179.6</v>
      </c>
      <c r="W31" s="2">
        <v>171.3</v>
      </c>
      <c r="X31" s="2">
        <v>178.8</v>
      </c>
      <c r="Y31" s="2">
        <v>166.3</v>
      </c>
      <c r="Z31" s="2">
        <v>168.6</v>
      </c>
      <c r="AA31" s="2">
        <v>174.7</v>
      </c>
      <c r="AB31" s="2">
        <v>169.7</v>
      </c>
      <c r="AC31" s="51">
        <v>171.8</v>
      </c>
    </row>
    <row r="32" spans="1:29" x14ac:dyDescent="0.25">
      <c r="A32" s="52" t="s">
        <v>30</v>
      </c>
      <c r="B32" s="2">
        <v>2022</v>
      </c>
      <c r="C32" s="2" t="s">
        <v>41</v>
      </c>
      <c r="D32" s="2">
        <v>159.5</v>
      </c>
      <c r="E32" s="2">
        <v>204.1</v>
      </c>
      <c r="F32" s="2">
        <v>168.3</v>
      </c>
      <c r="G32" s="2">
        <v>167.9</v>
      </c>
      <c r="H32" s="2">
        <v>198.1</v>
      </c>
      <c r="I32" s="2">
        <v>169.2</v>
      </c>
      <c r="J32" s="2">
        <v>173.1</v>
      </c>
      <c r="K32" s="2">
        <v>167.1</v>
      </c>
      <c r="L32" s="2">
        <v>120.2</v>
      </c>
      <c r="M32" s="2">
        <v>195.6</v>
      </c>
      <c r="N32" s="2">
        <v>174.8</v>
      </c>
      <c r="O32" s="2">
        <v>184</v>
      </c>
      <c r="P32" s="2">
        <v>173.9</v>
      </c>
      <c r="Q32" s="2">
        <v>193.7</v>
      </c>
      <c r="R32" s="2">
        <v>183.2</v>
      </c>
      <c r="S32" s="2">
        <v>181.7</v>
      </c>
      <c r="T32" s="2">
        <v>183</v>
      </c>
      <c r="U32" s="2" t="s">
        <v>32</v>
      </c>
      <c r="V32" s="2">
        <v>179.1</v>
      </c>
      <c r="W32" s="2">
        <v>172.3</v>
      </c>
      <c r="X32" s="2">
        <v>179.4</v>
      </c>
      <c r="Y32" s="2">
        <v>166.6</v>
      </c>
      <c r="Z32" s="2">
        <v>169.3</v>
      </c>
      <c r="AA32" s="2">
        <v>175.7</v>
      </c>
      <c r="AB32" s="2">
        <v>171.1</v>
      </c>
      <c r="AC32" s="51">
        <v>172.6</v>
      </c>
    </row>
    <row r="33" spans="1:29" x14ac:dyDescent="0.25">
      <c r="A33" s="52" t="s">
        <v>30</v>
      </c>
      <c r="B33" s="2">
        <v>2022</v>
      </c>
      <c r="C33" s="2" t="s">
        <v>42</v>
      </c>
      <c r="D33" s="2">
        <v>162.9</v>
      </c>
      <c r="E33" s="2">
        <v>206.7</v>
      </c>
      <c r="F33" s="2">
        <v>169</v>
      </c>
      <c r="G33" s="2">
        <v>169.5</v>
      </c>
      <c r="H33" s="2">
        <v>194.1</v>
      </c>
      <c r="I33" s="2">
        <v>164.1</v>
      </c>
      <c r="J33" s="2">
        <v>176.9</v>
      </c>
      <c r="K33" s="2">
        <v>169</v>
      </c>
      <c r="L33" s="2">
        <v>120.8</v>
      </c>
      <c r="M33" s="2">
        <v>199.1</v>
      </c>
      <c r="N33" s="2">
        <v>175.4</v>
      </c>
      <c r="O33" s="2">
        <v>184.8</v>
      </c>
      <c r="P33" s="2">
        <v>175.5</v>
      </c>
      <c r="Q33" s="2">
        <v>194.5</v>
      </c>
      <c r="R33" s="2">
        <v>184.7</v>
      </c>
      <c r="S33" s="2">
        <v>183.3</v>
      </c>
      <c r="T33" s="2">
        <v>184.5</v>
      </c>
      <c r="U33" s="2" t="s">
        <v>32</v>
      </c>
      <c r="V33" s="2">
        <v>179.7</v>
      </c>
      <c r="W33" s="2">
        <v>173.6</v>
      </c>
      <c r="X33" s="2">
        <v>180.2</v>
      </c>
      <c r="Y33" s="2">
        <v>166.9</v>
      </c>
      <c r="Z33" s="2">
        <v>170</v>
      </c>
      <c r="AA33" s="2">
        <v>176.2</v>
      </c>
      <c r="AB33" s="2">
        <v>170.8</v>
      </c>
      <c r="AC33" s="51">
        <v>173.1</v>
      </c>
    </row>
    <row r="34" spans="1:29" x14ac:dyDescent="0.25">
      <c r="A34" s="52" t="s">
        <v>30</v>
      </c>
      <c r="B34" s="2">
        <v>2022</v>
      </c>
      <c r="C34" s="2" t="s">
        <v>43</v>
      </c>
      <c r="D34" s="2">
        <v>164.7</v>
      </c>
      <c r="E34" s="2">
        <v>208.8</v>
      </c>
      <c r="F34" s="2">
        <v>170.3</v>
      </c>
      <c r="G34" s="2">
        <v>170.9</v>
      </c>
      <c r="H34" s="2">
        <v>191.6</v>
      </c>
      <c r="I34" s="2">
        <v>162.19999999999999</v>
      </c>
      <c r="J34" s="2">
        <v>184.8</v>
      </c>
      <c r="K34" s="2">
        <v>169.7</v>
      </c>
      <c r="L34" s="2">
        <v>121.1</v>
      </c>
      <c r="M34" s="2">
        <v>201.6</v>
      </c>
      <c r="N34" s="2">
        <v>175.8</v>
      </c>
      <c r="O34" s="2">
        <v>185.6</v>
      </c>
      <c r="P34" s="2">
        <v>177.4</v>
      </c>
      <c r="Q34" s="2">
        <v>194.9</v>
      </c>
      <c r="R34" s="2">
        <v>186.1</v>
      </c>
      <c r="S34" s="2">
        <v>184.4</v>
      </c>
      <c r="T34" s="2">
        <v>185.9</v>
      </c>
      <c r="U34" s="2" t="s">
        <v>32</v>
      </c>
      <c r="V34" s="2">
        <v>180.8</v>
      </c>
      <c r="W34" s="2">
        <v>174.4</v>
      </c>
      <c r="X34" s="2">
        <v>181.2</v>
      </c>
      <c r="Y34" s="2">
        <v>167.4</v>
      </c>
      <c r="Z34" s="2">
        <v>170.6</v>
      </c>
      <c r="AA34" s="2">
        <v>176.5</v>
      </c>
      <c r="AB34" s="2">
        <v>172</v>
      </c>
      <c r="AC34" s="51">
        <v>173.9</v>
      </c>
    </row>
    <row r="35" spans="1:29" x14ac:dyDescent="0.25">
      <c r="A35" s="52" t="s">
        <v>30</v>
      </c>
      <c r="B35" s="2">
        <v>2022</v>
      </c>
      <c r="C35" s="2" t="s">
        <v>45</v>
      </c>
      <c r="D35" s="2">
        <v>166.9</v>
      </c>
      <c r="E35" s="2">
        <v>207.2</v>
      </c>
      <c r="F35" s="2">
        <v>180.2</v>
      </c>
      <c r="G35" s="2">
        <v>172.3</v>
      </c>
      <c r="H35" s="2">
        <v>194</v>
      </c>
      <c r="I35" s="2">
        <v>159.1</v>
      </c>
      <c r="J35" s="2">
        <v>171.6</v>
      </c>
      <c r="K35" s="2">
        <v>170.2</v>
      </c>
      <c r="L35" s="2">
        <v>121.5</v>
      </c>
      <c r="M35" s="2">
        <v>204.8</v>
      </c>
      <c r="N35" s="2">
        <v>176.4</v>
      </c>
      <c r="O35" s="2">
        <v>186.9</v>
      </c>
      <c r="P35" s="2">
        <v>176.6</v>
      </c>
      <c r="Q35" s="2">
        <v>195.5</v>
      </c>
      <c r="R35" s="2">
        <v>187.2</v>
      </c>
      <c r="S35" s="2">
        <v>185.2</v>
      </c>
      <c r="T35" s="2">
        <v>186.9</v>
      </c>
      <c r="U35" s="2" t="s">
        <v>32</v>
      </c>
      <c r="V35" s="2">
        <v>181.9</v>
      </c>
      <c r="W35" s="2">
        <v>175.5</v>
      </c>
      <c r="X35" s="2">
        <v>182.3</v>
      </c>
      <c r="Y35" s="2">
        <v>167.5</v>
      </c>
      <c r="Z35" s="2">
        <v>170.8</v>
      </c>
      <c r="AA35" s="2">
        <v>176.9</v>
      </c>
      <c r="AB35" s="2">
        <v>173.4</v>
      </c>
      <c r="AC35" s="51">
        <v>174.6</v>
      </c>
    </row>
    <row r="36" spans="1:29" x14ac:dyDescent="0.25">
      <c r="A36" s="52" t="s">
        <v>30</v>
      </c>
      <c r="B36" s="2">
        <v>2022</v>
      </c>
      <c r="C36" s="2" t="s">
        <v>46</v>
      </c>
      <c r="D36" s="2">
        <v>168.8</v>
      </c>
      <c r="E36" s="2">
        <v>206.9</v>
      </c>
      <c r="F36" s="2">
        <v>189.1</v>
      </c>
      <c r="G36" s="2">
        <v>173.4</v>
      </c>
      <c r="H36" s="2">
        <v>193.9</v>
      </c>
      <c r="I36" s="2">
        <v>156.69999999999999</v>
      </c>
      <c r="J36" s="2">
        <v>150.19999999999999</v>
      </c>
      <c r="K36" s="2">
        <v>170.5</v>
      </c>
      <c r="L36" s="2">
        <v>121.2</v>
      </c>
      <c r="M36" s="2">
        <v>207.5</v>
      </c>
      <c r="N36" s="2">
        <v>176.8</v>
      </c>
      <c r="O36" s="2">
        <v>187.7</v>
      </c>
      <c r="P36" s="2">
        <v>174.4</v>
      </c>
      <c r="Q36" s="2">
        <v>195.9</v>
      </c>
      <c r="R36" s="2">
        <v>188.1</v>
      </c>
      <c r="S36" s="2">
        <v>185.9</v>
      </c>
      <c r="T36" s="2">
        <v>187.8</v>
      </c>
      <c r="U36" s="2" t="s">
        <v>32</v>
      </c>
      <c r="V36" s="2">
        <v>182.8</v>
      </c>
      <c r="W36" s="2">
        <v>176.4</v>
      </c>
      <c r="X36" s="2">
        <v>183.5</v>
      </c>
      <c r="Y36" s="2">
        <v>167.8</v>
      </c>
      <c r="Z36" s="2">
        <v>171.2</v>
      </c>
      <c r="AA36" s="2">
        <v>177.3</v>
      </c>
      <c r="AB36" s="2">
        <v>175.7</v>
      </c>
      <c r="AC36" s="51">
        <v>175.5</v>
      </c>
    </row>
    <row r="37" spans="1:29" x14ac:dyDescent="0.25">
      <c r="A37" s="52" t="s">
        <v>30</v>
      </c>
      <c r="B37" s="2">
        <v>2023</v>
      </c>
      <c r="C37" s="2" t="s">
        <v>31</v>
      </c>
      <c r="D37" s="2">
        <v>174</v>
      </c>
      <c r="E37" s="2">
        <v>208.3</v>
      </c>
      <c r="F37" s="2">
        <v>192.9</v>
      </c>
      <c r="G37" s="2">
        <v>174.3</v>
      </c>
      <c r="H37" s="2">
        <v>192.6</v>
      </c>
      <c r="I37" s="2">
        <v>156.30000000000001</v>
      </c>
      <c r="J37" s="2">
        <v>142.9</v>
      </c>
      <c r="K37" s="2">
        <v>170.7</v>
      </c>
      <c r="L37" s="2">
        <v>120.3</v>
      </c>
      <c r="M37" s="2">
        <v>210.5</v>
      </c>
      <c r="N37" s="2">
        <v>176.9</v>
      </c>
      <c r="O37" s="2">
        <v>188.5</v>
      </c>
      <c r="P37" s="2">
        <v>175</v>
      </c>
      <c r="Q37" s="2">
        <v>196.9</v>
      </c>
      <c r="R37" s="2">
        <v>189</v>
      </c>
      <c r="S37" s="2">
        <v>186.3</v>
      </c>
      <c r="T37" s="2">
        <v>188.6</v>
      </c>
      <c r="U37" s="2" t="s">
        <v>32</v>
      </c>
      <c r="V37" s="2">
        <v>183.2</v>
      </c>
      <c r="W37" s="2">
        <v>177.2</v>
      </c>
      <c r="X37" s="2">
        <v>184.7</v>
      </c>
      <c r="Y37" s="2">
        <v>168.2</v>
      </c>
      <c r="Z37" s="2">
        <v>171.8</v>
      </c>
      <c r="AA37" s="2">
        <v>177.8</v>
      </c>
      <c r="AB37" s="2">
        <v>178.4</v>
      </c>
      <c r="AC37" s="51">
        <v>176.5</v>
      </c>
    </row>
    <row r="38" spans="1:29" x14ac:dyDescent="0.25">
      <c r="A38" s="52" t="s">
        <v>30</v>
      </c>
      <c r="B38" s="2">
        <v>2023</v>
      </c>
      <c r="C38" s="2" t="s">
        <v>35</v>
      </c>
      <c r="D38" s="2">
        <v>174.2</v>
      </c>
      <c r="E38" s="2">
        <v>205.2</v>
      </c>
      <c r="F38" s="2">
        <v>173.9</v>
      </c>
      <c r="G38" s="2">
        <v>177</v>
      </c>
      <c r="H38" s="2">
        <v>183.4</v>
      </c>
      <c r="I38" s="2">
        <v>167.2</v>
      </c>
      <c r="J38" s="2">
        <v>140.9</v>
      </c>
      <c r="K38" s="2">
        <v>170.4</v>
      </c>
      <c r="L38" s="2">
        <v>119.1</v>
      </c>
      <c r="M38" s="2">
        <v>212.1</v>
      </c>
      <c r="N38" s="2">
        <v>177.6</v>
      </c>
      <c r="O38" s="2">
        <v>189.9</v>
      </c>
      <c r="P38" s="2">
        <v>174.8</v>
      </c>
      <c r="Q38" s="2">
        <v>198.3</v>
      </c>
      <c r="R38" s="2">
        <v>190</v>
      </c>
      <c r="S38" s="2">
        <v>187</v>
      </c>
      <c r="T38" s="2">
        <v>189.6</v>
      </c>
      <c r="U38" s="2" t="s">
        <v>32</v>
      </c>
      <c r="V38" s="2">
        <v>181.6</v>
      </c>
      <c r="W38" s="2">
        <v>178.6</v>
      </c>
      <c r="X38" s="2">
        <v>186.6</v>
      </c>
      <c r="Y38" s="2">
        <v>169</v>
      </c>
      <c r="Z38" s="2">
        <v>172.8</v>
      </c>
      <c r="AA38" s="2">
        <v>178.5</v>
      </c>
      <c r="AB38" s="2">
        <v>180.7</v>
      </c>
      <c r="AC38" s="51">
        <v>177.9</v>
      </c>
    </row>
    <row r="39" spans="1:29" x14ac:dyDescent="0.25">
      <c r="A39" s="52" t="s">
        <v>30</v>
      </c>
      <c r="B39" s="2">
        <v>2023</v>
      </c>
      <c r="C39" s="2" t="s">
        <v>36</v>
      </c>
      <c r="D39" s="2">
        <v>174.3</v>
      </c>
      <c r="E39" s="2">
        <v>205.2</v>
      </c>
      <c r="F39" s="2">
        <v>173.9</v>
      </c>
      <c r="G39" s="2">
        <v>177</v>
      </c>
      <c r="H39" s="2">
        <v>183.3</v>
      </c>
      <c r="I39" s="2">
        <v>167.2</v>
      </c>
      <c r="J39" s="2">
        <v>140.9</v>
      </c>
      <c r="K39" s="2">
        <v>170.5</v>
      </c>
      <c r="L39" s="2">
        <v>119.1</v>
      </c>
      <c r="M39" s="2">
        <v>212.1</v>
      </c>
      <c r="N39" s="2">
        <v>177.6</v>
      </c>
      <c r="O39" s="2">
        <v>189.9</v>
      </c>
      <c r="P39" s="2">
        <v>174.8</v>
      </c>
      <c r="Q39" s="2">
        <v>198.4</v>
      </c>
      <c r="R39" s="2">
        <v>190</v>
      </c>
      <c r="S39" s="2">
        <v>187</v>
      </c>
      <c r="T39" s="2">
        <v>189.6</v>
      </c>
      <c r="U39" s="2" t="s">
        <v>32</v>
      </c>
      <c r="V39" s="2">
        <v>181.4</v>
      </c>
      <c r="W39" s="2">
        <v>178.6</v>
      </c>
      <c r="X39" s="2">
        <v>186.6</v>
      </c>
      <c r="Y39" s="2">
        <v>169</v>
      </c>
      <c r="Z39" s="2">
        <v>172.8</v>
      </c>
      <c r="AA39" s="2">
        <v>178.5</v>
      </c>
      <c r="AB39" s="2">
        <v>180.7</v>
      </c>
      <c r="AC39" s="51">
        <v>177.9</v>
      </c>
    </row>
    <row r="40" spans="1:29" x14ac:dyDescent="0.25">
      <c r="A40" s="52" t="s">
        <v>30</v>
      </c>
      <c r="B40" s="2">
        <v>2023</v>
      </c>
      <c r="C40" s="2" t="s">
        <v>37</v>
      </c>
      <c r="D40" s="2">
        <v>173.3</v>
      </c>
      <c r="E40" s="2">
        <v>206.9</v>
      </c>
      <c r="F40" s="2">
        <v>167.9</v>
      </c>
      <c r="G40" s="2">
        <v>178.2</v>
      </c>
      <c r="H40" s="2">
        <v>178.5</v>
      </c>
      <c r="I40" s="2">
        <v>173.7</v>
      </c>
      <c r="J40" s="2">
        <v>142.80000000000001</v>
      </c>
      <c r="K40" s="2">
        <v>172.8</v>
      </c>
      <c r="L40" s="2">
        <v>120.4</v>
      </c>
      <c r="M40" s="2">
        <v>215.5</v>
      </c>
      <c r="N40" s="2">
        <v>178.2</v>
      </c>
      <c r="O40" s="2">
        <v>190.5</v>
      </c>
      <c r="P40" s="2">
        <v>175.5</v>
      </c>
      <c r="Q40" s="2">
        <v>199.5</v>
      </c>
      <c r="R40" s="2">
        <v>190.7</v>
      </c>
      <c r="S40" s="2">
        <v>187.3</v>
      </c>
      <c r="T40" s="2">
        <v>190.2</v>
      </c>
      <c r="U40" s="2" t="s">
        <v>32</v>
      </c>
      <c r="V40" s="2">
        <v>181.5</v>
      </c>
      <c r="W40" s="2">
        <v>179.1</v>
      </c>
      <c r="X40" s="2">
        <v>187.2</v>
      </c>
      <c r="Y40" s="2">
        <v>169.4</v>
      </c>
      <c r="Z40" s="2">
        <v>173.2</v>
      </c>
      <c r="AA40" s="2">
        <v>179.4</v>
      </c>
      <c r="AB40" s="2">
        <v>183.8</v>
      </c>
      <c r="AC40" s="51">
        <v>178.9</v>
      </c>
    </row>
    <row r="41" spans="1:29" x14ac:dyDescent="0.25">
      <c r="A41" s="52" t="s">
        <v>30</v>
      </c>
      <c r="B41" s="2">
        <v>2023</v>
      </c>
      <c r="C41" s="2" t="s">
        <v>38</v>
      </c>
      <c r="D41" s="2">
        <v>173.2</v>
      </c>
      <c r="E41" s="2">
        <v>211.5</v>
      </c>
      <c r="F41" s="2">
        <v>171</v>
      </c>
      <c r="G41" s="2">
        <v>179.6</v>
      </c>
      <c r="H41" s="2">
        <v>173.3</v>
      </c>
      <c r="I41" s="2">
        <v>169</v>
      </c>
      <c r="J41" s="2">
        <v>148.69999999999999</v>
      </c>
      <c r="K41" s="2">
        <v>174.9</v>
      </c>
      <c r="L41" s="2">
        <v>121.9</v>
      </c>
      <c r="M41" s="2">
        <v>221</v>
      </c>
      <c r="N41" s="2">
        <v>178.7</v>
      </c>
      <c r="O41" s="2">
        <v>191.1</v>
      </c>
      <c r="P41" s="2">
        <v>176.8</v>
      </c>
      <c r="Q41" s="2">
        <v>199.9</v>
      </c>
      <c r="R41" s="2">
        <v>191.2</v>
      </c>
      <c r="S41" s="2">
        <v>187.9</v>
      </c>
      <c r="T41" s="2">
        <v>190.8</v>
      </c>
      <c r="U41" s="2" t="s">
        <v>32</v>
      </c>
      <c r="V41" s="2">
        <v>182.5</v>
      </c>
      <c r="W41" s="2">
        <v>179.8</v>
      </c>
      <c r="X41" s="2">
        <v>187.8</v>
      </c>
      <c r="Y41" s="2">
        <v>169.7</v>
      </c>
      <c r="Z41" s="2">
        <v>173.8</v>
      </c>
      <c r="AA41" s="2">
        <v>180.3</v>
      </c>
      <c r="AB41" s="2">
        <v>184.9</v>
      </c>
      <c r="AC41" s="51">
        <v>179.5</v>
      </c>
    </row>
    <row r="42" spans="1:29" x14ac:dyDescent="0.25">
      <c r="A42" s="52" t="s">
        <v>34</v>
      </c>
      <c r="B42" s="2">
        <v>2020</v>
      </c>
      <c r="C42" s="2" t="s">
        <v>46</v>
      </c>
      <c r="D42" s="2">
        <v>146</v>
      </c>
      <c r="E42" s="2">
        <v>191</v>
      </c>
      <c r="F42" s="2">
        <v>175.3</v>
      </c>
      <c r="G42" s="2">
        <v>154.1</v>
      </c>
      <c r="H42" s="2">
        <v>146.6</v>
      </c>
      <c r="I42" s="2">
        <v>147.69999999999999</v>
      </c>
      <c r="J42" s="2">
        <v>230.5</v>
      </c>
      <c r="K42" s="2">
        <v>160.19999999999999</v>
      </c>
      <c r="L42" s="2">
        <v>115.3</v>
      </c>
      <c r="M42" s="2">
        <v>163</v>
      </c>
      <c r="N42" s="2">
        <v>149.19999999999999</v>
      </c>
      <c r="O42" s="2">
        <v>164.8</v>
      </c>
      <c r="P42" s="2">
        <v>165.4</v>
      </c>
      <c r="Q42" s="2">
        <v>185.4</v>
      </c>
      <c r="R42" s="2">
        <v>155</v>
      </c>
      <c r="S42" s="2">
        <v>145.4</v>
      </c>
      <c r="T42" s="2">
        <v>153.6</v>
      </c>
      <c r="U42" s="2">
        <v>158.4</v>
      </c>
      <c r="V42" s="2">
        <v>144.6</v>
      </c>
      <c r="W42" s="2">
        <v>149.69999999999999</v>
      </c>
      <c r="X42" s="2">
        <v>158.30000000000001</v>
      </c>
      <c r="Y42" s="2">
        <v>140.69999999999999</v>
      </c>
      <c r="Z42" s="2">
        <v>148.5</v>
      </c>
      <c r="AA42" s="2">
        <v>159.4</v>
      </c>
      <c r="AB42" s="2">
        <v>157.1</v>
      </c>
      <c r="AC42" s="51">
        <v>151.19999999999999</v>
      </c>
    </row>
    <row r="43" spans="1:29" x14ac:dyDescent="0.25">
      <c r="A43" s="52" t="s">
        <v>34</v>
      </c>
      <c r="B43" s="2">
        <v>2021</v>
      </c>
      <c r="C43" s="2" t="s">
        <v>31</v>
      </c>
      <c r="D43" s="2">
        <v>144.9</v>
      </c>
      <c r="E43" s="2">
        <v>190.1</v>
      </c>
      <c r="F43" s="2">
        <v>175.3</v>
      </c>
      <c r="G43" s="2">
        <v>154.1</v>
      </c>
      <c r="H43" s="2">
        <v>150.9</v>
      </c>
      <c r="I43" s="2">
        <v>149.6</v>
      </c>
      <c r="J43" s="2">
        <v>194.2</v>
      </c>
      <c r="K43" s="2">
        <v>160.4</v>
      </c>
      <c r="L43" s="2">
        <v>114.6</v>
      </c>
      <c r="M43" s="2">
        <v>164</v>
      </c>
      <c r="N43" s="2">
        <v>151.80000000000001</v>
      </c>
      <c r="O43" s="2">
        <v>165.6</v>
      </c>
      <c r="P43" s="2">
        <v>161</v>
      </c>
      <c r="Q43" s="2">
        <v>186.5</v>
      </c>
      <c r="R43" s="2">
        <v>155.5</v>
      </c>
      <c r="S43" s="2">
        <v>146.1</v>
      </c>
      <c r="T43" s="2">
        <v>154.19999999999999</v>
      </c>
      <c r="U43" s="2">
        <v>157.69999999999999</v>
      </c>
      <c r="V43" s="2">
        <v>147.9</v>
      </c>
      <c r="W43" s="2">
        <v>150</v>
      </c>
      <c r="X43" s="2">
        <v>159.30000000000001</v>
      </c>
      <c r="Y43" s="2">
        <v>141.9</v>
      </c>
      <c r="Z43" s="2">
        <v>149.6</v>
      </c>
      <c r="AA43" s="2">
        <v>159.19999999999999</v>
      </c>
      <c r="AB43" s="2">
        <v>156.80000000000001</v>
      </c>
      <c r="AC43" s="51">
        <v>151.9</v>
      </c>
    </row>
    <row r="44" spans="1:29" x14ac:dyDescent="0.25">
      <c r="A44" s="52" t="s">
        <v>34</v>
      </c>
      <c r="B44" s="2">
        <v>2021</v>
      </c>
      <c r="C44" s="2" t="s">
        <v>35</v>
      </c>
      <c r="D44" s="2">
        <v>144.30000000000001</v>
      </c>
      <c r="E44" s="2">
        <v>186.5</v>
      </c>
      <c r="F44" s="2">
        <v>168.7</v>
      </c>
      <c r="G44" s="2">
        <v>154.69999999999999</v>
      </c>
      <c r="H44" s="2">
        <v>158.69999999999999</v>
      </c>
      <c r="I44" s="2">
        <v>150.69999999999999</v>
      </c>
      <c r="J44" s="2">
        <v>160</v>
      </c>
      <c r="K44" s="2">
        <v>158.80000000000001</v>
      </c>
      <c r="L44" s="2">
        <v>112.8</v>
      </c>
      <c r="M44" s="2">
        <v>164.2</v>
      </c>
      <c r="N44" s="2">
        <v>155.5</v>
      </c>
      <c r="O44" s="2">
        <v>167.5</v>
      </c>
      <c r="P44" s="2">
        <v>156.9</v>
      </c>
      <c r="Q44" s="2">
        <v>188.3</v>
      </c>
      <c r="R44" s="2">
        <v>157.19999999999999</v>
      </c>
      <c r="S44" s="2">
        <v>147.4</v>
      </c>
      <c r="T44" s="2">
        <v>155.80000000000001</v>
      </c>
      <c r="U44" s="2">
        <v>159.80000000000001</v>
      </c>
      <c r="V44" s="2">
        <v>152.4</v>
      </c>
      <c r="W44" s="2">
        <v>150.9</v>
      </c>
      <c r="X44" s="2">
        <v>161.30000000000001</v>
      </c>
      <c r="Y44" s="2">
        <v>145.1</v>
      </c>
      <c r="Z44" s="2">
        <v>151.5</v>
      </c>
      <c r="AA44" s="2">
        <v>159.5</v>
      </c>
      <c r="AB44" s="2">
        <v>155.80000000000001</v>
      </c>
      <c r="AC44" s="51">
        <v>153.4</v>
      </c>
    </row>
    <row r="45" spans="1:29" x14ac:dyDescent="0.25">
      <c r="A45" s="52" t="s">
        <v>34</v>
      </c>
      <c r="B45" s="2">
        <v>2021</v>
      </c>
      <c r="C45" s="2" t="s">
        <v>36</v>
      </c>
      <c r="D45" s="2">
        <v>144.1</v>
      </c>
      <c r="E45" s="2">
        <v>192.2</v>
      </c>
      <c r="F45" s="2">
        <v>163.80000000000001</v>
      </c>
      <c r="G45" s="2">
        <v>154.9</v>
      </c>
      <c r="H45" s="2">
        <v>163.9</v>
      </c>
      <c r="I45" s="2">
        <v>153.69999999999999</v>
      </c>
      <c r="J45" s="2">
        <v>149.5</v>
      </c>
      <c r="K45" s="2">
        <v>159.80000000000001</v>
      </c>
      <c r="L45" s="2">
        <v>112.6</v>
      </c>
      <c r="M45" s="2">
        <v>163.5</v>
      </c>
      <c r="N45" s="2">
        <v>156.5</v>
      </c>
      <c r="O45" s="2">
        <v>168.2</v>
      </c>
      <c r="P45" s="2">
        <v>156.69999999999999</v>
      </c>
      <c r="Q45" s="2">
        <v>188.1</v>
      </c>
      <c r="R45" s="2">
        <v>157.80000000000001</v>
      </c>
      <c r="S45" s="2">
        <v>147.9</v>
      </c>
      <c r="T45" s="2">
        <v>156.4</v>
      </c>
      <c r="U45" s="2">
        <v>159.9</v>
      </c>
      <c r="V45" s="2">
        <v>155.5</v>
      </c>
      <c r="W45" s="2">
        <v>151.19999999999999</v>
      </c>
      <c r="X45" s="2">
        <v>161.69999999999999</v>
      </c>
      <c r="Y45" s="2">
        <v>146.19999999999999</v>
      </c>
      <c r="Z45" s="2">
        <v>152.6</v>
      </c>
      <c r="AA45" s="2">
        <v>160.19999999999999</v>
      </c>
      <c r="AB45" s="2">
        <v>153.80000000000001</v>
      </c>
      <c r="AC45" s="51">
        <v>153.80000000000001</v>
      </c>
    </row>
    <row r="46" spans="1:29" x14ac:dyDescent="0.25">
      <c r="A46" s="52" t="s">
        <v>34</v>
      </c>
      <c r="B46" s="2">
        <v>2021</v>
      </c>
      <c r="C46" s="2" t="s">
        <v>37</v>
      </c>
      <c r="D46" s="2">
        <v>144.30000000000001</v>
      </c>
      <c r="E46" s="2">
        <v>198</v>
      </c>
      <c r="F46" s="2">
        <v>164.6</v>
      </c>
      <c r="G46" s="2">
        <v>155.4</v>
      </c>
      <c r="H46" s="2">
        <v>170.1</v>
      </c>
      <c r="I46" s="2">
        <v>164.4</v>
      </c>
      <c r="J46" s="2">
        <v>144.1</v>
      </c>
      <c r="K46" s="2">
        <v>161.69999999999999</v>
      </c>
      <c r="L46" s="2">
        <v>113.1</v>
      </c>
      <c r="M46" s="2">
        <v>163.9</v>
      </c>
      <c r="N46" s="2">
        <v>157.6</v>
      </c>
      <c r="O46" s="2">
        <v>168.9</v>
      </c>
      <c r="P46" s="2">
        <v>158</v>
      </c>
      <c r="Q46" s="2">
        <v>188.8</v>
      </c>
      <c r="R46" s="2">
        <v>158.80000000000001</v>
      </c>
      <c r="S46" s="2">
        <v>148.5</v>
      </c>
      <c r="T46" s="2">
        <v>157.30000000000001</v>
      </c>
      <c r="U46" s="2">
        <v>161.4</v>
      </c>
      <c r="V46" s="2">
        <v>155.6</v>
      </c>
      <c r="W46" s="2">
        <v>151.80000000000001</v>
      </c>
      <c r="X46" s="2">
        <v>162.30000000000001</v>
      </c>
      <c r="Y46" s="2">
        <v>146.6</v>
      </c>
      <c r="Z46" s="2">
        <v>153.19999999999999</v>
      </c>
      <c r="AA46" s="2">
        <v>160.30000000000001</v>
      </c>
      <c r="AB46" s="2">
        <v>155.4</v>
      </c>
      <c r="AC46" s="51">
        <v>154.4</v>
      </c>
    </row>
    <row r="47" spans="1:29" x14ac:dyDescent="0.25">
      <c r="A47" s="52" t="s">
        <v>34</v>
      </c>
      <c r="B47" s="2">
        <v>2021</v>
      </c>
      <c r="C47" s="2" t="s">
        <v>38</v>
      </c>
      <c r="D47" s="2">
        <v>146.30000000000001</v>
      </c>
      <c r="E47" s="2">
        <v>200.5</v>
      </c>
      <c r="F47" s="2">
        <v>170.3</v>
      </c>
      <c r="G47" s="2">
        <v>156.1</v>
      </c>
      <c r="H47" s="2">
        <v>178.7</v>
      </c>
      <c r="I47" s="2">
        <v>167.1</v>
      </c>
      <c r="J47" s="2">
        <v>147.9</v>
      </c>
      <c r="K47" s="2">
        <v>165.4</v>
      </c>
      <c r="L47" s="2">
        <v>114.8</v>
      </c>
      <c r="M47" s="2">
        <v>168.2</v>
      </c>
      <c r="N47" s="2">
        <v>159.30000000000001</v>
      </c>
      <c r="O47" s="2">
        <v>170.4</v>
      </c>
      <c r="P47" s="2">
        <v>160.69999999999999</v>
      </c>
      <c r="Q47" s="2">
        <v>191.9</v>
      </c>
      <c r="R47" s="2">
        <v>161.80000000000001</v>
      </c>
      <c r="S47" s="2">
        <v>152.1</v>
      </c>
      <c r="T47" s="2">
        <v>160.4</v>
      </c>
      <c r="U47" s="2">
        <v>161.6</v>
      </c>
      <c r="V47" s="2">
        <v>159.4</v>
      </c>
      <c r="W47" s="2">
        <v>154.69999999999999</v>
      </c>
      <c r="X47" s="2">
        <v>165.8</v>
      </c>
      <c r="Y47" s="2">
        <v>148.9</v>
      </c>
      <c r="Z47" s="2">
        <v>155.80000000000001</v>
      </c>
      <c r="AA47" s="2">
        <v>161.19999999999999</v>
      </c>
      <c r="AB47" s="2">
        <v>158.6</v>
      </c>
      <c r="AC47" s="51">
        <v>156.80000000000001</v>
      </c>
    </row>
    <row r="48" spans="1:29" x14ac:dyDescent="0.25">
      <c r="A48" s="52" t="s">
        <v>34</v>
      </c>
      <c r="B48" s="2">
        <v>2021</v>
      </c>
      <c r="C48" s="2" t="s">
        <v>39</v>
      </c>
      <c r="D48" s="2">
        <v>146.69999999999999</v>
      </c>
      <c r="E48" s="2">
        <v>202</v>
      </c>
      <c r="F48" s="2">
        <v>180.7</v>
      </c>
      <c r="G48" s="2">
        <v>156.19999999999999</v>
      </c>
      <c r="H48" s="2">
        <v>183.7</v>
      </c>
      <c r="I48" s="2">
        <v>164.6</v>
      </c>
      <c r="J48" s="2">
        <v>155.4</v>
      </c>
      <c r="K48" s="2">
        <v>166</v>
      </c>
      <c r="L48" s="2">
        <v>115.1</v>
      </c>
      <c r="M48" s="2">
        <v>168.5</v>
      </c>
      <c r="N48" s="2">
        <v>160</v>
      </c>
      <c r="O48" s="2">
        <v>172.4</v>
      </c>
      <c r="P48" s="2">
        <v>162.6</v>
      </c>
      <c r="Q48" s="2">
        <v>190.8</v>
      </c>
      <c r="R48" s="2">
        <v>162.19999999999999</v>
      </c>
      <c r="S48" s="2">
        <v>151.80000000000001</v>
      </c>
      <c r="T48" s="2">
        <v>160.69999999999999</v>
      </c>
      <c r="U48" s="2">
        <v>160.5</v>
      </c>
      <c r="V48" s="2">
        <v>159.80000000000001</v>
      </c>
      <c r="W48" s="2">
        <v>154.80000000000001</v>
      </c>
      <c r="X48" s="2">
        <v>166.3</v>
      </c>
      <c r="Y48" s="2">
        <v>150.69999999999999</v>
      </c>
      <c r="Z48" s="2">
        <v>154.9</v>
      </c>
      <c r="AA48" s="2">
        <v>161.69999999999999</v>
      </c>
      <c r="AB48" s="2">
        <v>158.80000000000001</v>
      </c>
      <c r="AC48" s="51">
        <v>157.6</v>
      </c>
    </row>
    <row r="49" spans="1:29" x14ac:dyDescent="0.25">
      <c r="A49" s="52" t="s">
        <v>34</v>
      </c>
      <c r="B49" s="2">
        <v>2021</v>
      </c>
      <c r="C49" s="2" t="s">
        <v>40</v>
      </c>
      <c r="D49" s="2">
        <v>146.4</v>
      </c>
      <c r="E49" s="2">
        <v>206.8</v>
      </c>
      <c r="F49" s="2">
        <v>182.2</v>
      </c>
      <c r="G49" s="2">
        <v>157.5</v>
      </c>
      <c r="H49" s="2">
        <v>182.1</v>
      </c>
      <c r="I49" s="2">
        <v>163.9</v>
      </c>
      <c r="J49" s="2">
        <v>164.2</v>
      </c>
      <c r="K49" s="2">
        <v>164</v>
      </c>
      <c r="L49" s="2">
        <v>114.5</v>
      </c>
      <c r="M49" s="2">
        <v>168.3</v>
      </c>
      <c r="N49" s="2">
        <v>160.9</v>
      </c>
      <c r="O49" s="2">
        <v>172.2</v>
      </c>
      <c r="P49" s="2">
        <v>164</v>
      </c>
      <c r="Q49" s="2">
        <v>191.2</v>
      </c>
      <c r="R49" s="2">
        <v>162.80000000000001</v>
      </c>
      <c r="S49" s="2">
        <v>153.1</v>
      </c>
      <c r="T49" s="2">
        <v>161.4</v>
      </c>
      <c r="U49" s="2">
        <v>161.5</v>
      </c>
      <c r="V49" s="2">
        <v>160.69999999999999</v>
      </c>
      <c r="W49" s="2">
        <v>155.80000000000001</v>
      </c>
      <c r="X49" s="2">
        <v>167</v>
      </c>
      <c r="Y49" s="2">
        <v>153.1</v>
      </c>
      <c r="Z49" s="2">
        <v>155.30000000000001</v>
      </c>
      <c r="AA49" s="2">
        <v>163.19999999999999</v>
      </c>
      <c r="AB49" s="2">
        <v>160.1</v>
      </c>
      <c r="AC49" s="51">
        <v>159</v>
      </c>
    </row>
    <row r="50" spans="1:29" x14ac:dyDescent="0.25">
      <c r="A50" s="52" t="s">
        <v>34</v>
      </c>
      <c r="B50" s="2">
        <v>2021</v>
      </c>
      <c r="C50" s="2" t="s">
        <v>41</v>
      </c>
      <c r="D50" s="2">
        <v>146.6</v>
      </c>
      <c r="E50" s="2">
        <v>204</v>
      </c>
      <c r="F50" s="2">
        <v>172.8</v>
      </c>
      <c r="G50" s="2">
        <v>158.4</v>
      </c>
      <c r="H50" s="2">
        <v>188</v>
      </c>
      <c r="I50" s="2">
        <v>156.80000000000001</v>
      </c>
      <c r="J50" s="2">
        <v>162.19999999999999</v>
      </c>
      <c r="K50" s="2">
        <v>164.1</v>
      </c>
      <c r="L50" s="2">
        <v>119.7</v>
      </c>
      <c r="M50" s="2">
        <v>168.8</v>
      </c>
      <c r="N50" s="2">
        <v>162.69999999999999</v>
      </c>
      <c r="O50" s="2">
        <v>173.9</v>
      </c>
      <c r="P50" s="2">
        <v>164</v>
      </c>
      <c r="Q50" s="2">
        <v>192.1</v>
      </c>
      <c r="R50" s="2">
        <v>164.5</v>
      </c>
      <c r="S50" s="2">
        <v>155.30000000000001</v>
      </c>
      <c r="T50" s="2">
        <v>163.19999999999999</v>
      </c>
      <c r="U50" s="2">
        <v>162.1</v>
      </c>
      <c r="V50" s="2">
        <v>162.6</v>
      </c>
      <c r="W50" s="2">
        <v>157.5</v>
      </c>
      <c r="X50" s="2">
        <v>168.4</v>
      </c>
      <c r="Y50" s="2">
        <v>154</v>
      </c>
      <c r="Z50" s="2">
        <v>157.6</v>
      </c>
      <c r="AA50" s="2">
        <v>163.80000000000001</v>
      </c>
      <c r="AB50" s="2">
        <v>160</v>
      </c>
      <c r="AC50" s="51">
        <v>160</v>
      </c>
    </row>
    <row r="51" spans="1:29" x14ac:dyDescent="0.25">
      <c r="A51" s="52" t="s">
        <v>34</v>
      </c>
      <c r="B51" s="2">
        <v>2021</v>
      </c>
      <c r="C51" s="2" t="s">
        <v>42</v>
      </c>
      <c r="D51" s="2">
        <v>146.6</v>
      </c>
      <c r="E51" s="2">
        <v>204</v>
      </c>
      <c r="F51" s="2">
        <v>172.8</v>
      </c>
      <c r="G51" s="2">
        <v>158.4</v>
      </c>
      <c r="H51" s="2">
        <v>188</v>
      </c>
      <c r="I51" s="2">
        <v>156.69999999999999</v>
      </c>
      <c r="J51" s="2">
        <v>162.30000000000001</v>
      </c>
      <c r="K51" s="2">
        <v>164.1</v>
      </c>
      <c r="L51" s="2">
        <v>119.7</v>
      </c>
      <c r="M51" s="2">
        <v>168.8</v>
      </c>
      <c r="N51" s="2">
        <v>162.69999999999999</v>
      </c>
      <c r="O51" s="2">
        <v>173.9</v>
      </c>
      <c r="P51" s="2">
        <v>164</v>
      </c>
      <c r="Q51" s="2">
        <v>192.1</v>
      </c>
      <c r="R51" s="2">
        <v>164.6</v>
      </c>
      <c r="S51" s="2">
        <v>155.30000000000001</v>
      </c>
      <c r="T51" s="2">
        <v>163.30000000000001</v>
      </c>
      <c r="U51" s="2">
        <v>162.1</v>
      </c>
      <c r="V51" s="2">
        <v>162.6</v>
      </c>
      <c r="W51" s="2">
        <v>157.5</v>
      </c>
      <c r="X51" s="2">
        <v>168.4</v>
      </c>
      <c r="Y51" s="2">
        <v>154</v>
      </c>
      <c r="Z51" s="2">
        <v>157.69999999999999</v>
      </c>
      <c r="AA51" s="2">
        <v>163.69999999999999</v>
      </c>
      <c r="AB51" s="2">
        <v>160</v>
      </c>
      <c r="AC51" s="51">
        <v>160</v>
      </c>
    </row>
    <row r="52" spans="1:29" x14ac:dyDescent="0.25">
      <c r="A52" s="52" t="s">
        <v>34</v>
      </c>
      <c r="B52" s="2">
        <v>2021</v>
      </c>
      <c r="C52" s="2" t="s">
        <v>43</v>
      </c>
      <c r="D52" s="2">
        <v>147.4</v>
      </c>
      <c r="E52" s="2">
        <v>204.6</v>
      </c>
      <c r="F52" s="2">
        <v>171.2</v>
      </c>
      <c r="G52" s="2">
        <v>158.69999999999999</v>
      </c>
      <c r="H52" s="2">
        <v>190.6</v>
      </c>
      <c r="I52" s="2">
        <v>155.69999999999999</v>
      </c>
      <c r="J52" s="2">
        <v>185.3</v>
      </c>
      <c r="K52" s="2">
        <v>165.2</v>
      </c>
      <c r="L52" s="2">
        <v>121.9</v>
      </c>
      <c r="M52" s="2">
        <v>169.3</v>
      </c>
      <c r="N52" s="2">
        <v>163.19999999999999</v>
      </c>
      <c r="O52" s="2">
        <v>174.7</v>
      </c>
      <c r="P52" s="2">
        <v>167.7</v>
      </c>
      <c r="Q52" s="2">
        <v>192.7</v>
      </c>
      <c r="R52" s="2">
        <v>165.7</v>
      </c>
      <c r="S52" s="2">
        <v>156.30000000000001</v>
      </c>
      <c r="T52" s="2">
        <v>164.3</v>
      </c>
      <c r="U52" s="2">
        <v>163.6</v>
      </c>
      <c r="V52" s="2">
        <v>164.2</v>
      </c>
      <c r="W52" s="2">
        <v>158.4</v>
      </c>
      <c r="X52" s="2">
        <v>169.1</v>
      </c>
      <c r="Y52" s="2">
        <v>155.69999999999999</v>
      </c>
      <c r="Z52" s="2">
        <v>158.6</v>
      </c>
      <c r="AA52" s="2">
        <v>163.9</v>
      </c>
      <c r="AB52" s="2">
        <v>160.80000000000001</v>
      </c>
      <c r="AC52" s="51">
        <v>161</v>
      </c>
    </row>
    <row r="53" spans="1:29" x14ac:dyDescent="0.25">
      <c r="A53" s="52" t="s">
        <v>34</v>
      </c>
      <c r="B53" s="2">
        <v>2021</v>
      </c>
      <c r="C53" s="2" t="s">
        <v>45</v>
      </c>
      <c r="D53" s="2">
        <v>148.19999999999999</v>
      </c>
      <c r="E53" s="2">
        <v>201.6</v>
      </c>
      <c r="F53" s="2">
        <v>173</v>
      </c>
      <c r="G53" s="2">
        <v>159.30000000000001</v>
      </c>
      <c r="H53" s="2">
        <v>190.1</v>
      </c>
      <c r="I53" s="2">
        <v>156.5</v>
      </c>
      <c r="J53" s="2">
        <v>199.2</v>
      </c>
      <c r="K53" s="2">
        <v>165.3</v>
      </c>
      <c r="L53" s="2">
        <v>122.4</v>
      </c>
      <c r="M53" s="2">
        <v>169.6</v>
      </c>
      <c r="N53" s="2">
        <v>163.69999999999999</v>
      </c>
      <c r="O53" s="2">
        <v>175.5</v>
      </c>
      <c r="P53" s="2">
        <v>169.7</v>
      </c>
      <c r="Q53" s="2">
        <v>192.9</v>
      </c>
      <c r="R53" s="2">
        <v>167.2</v>
      </c>
      <c r="S53" s="2">
        <v>157.4</v>
      </c>
      <c r="T53" s="2">
        <v>165.8</v>
      </c>
      <c r="U53" s="2">
        <v>164.2</v>
      </c>
      <c r="V53" s="2">
        <v>163.9</v>
      </c>
      <c r="W53" s="2">
        <v>159.30000000000001</v>
      </c>
      <c r="X53" s="2">
        <v>169.9</v>
      </c>
      <c r="Y53" s="2">
        <v>154.80000000000001</v>
      </c>
      <c r="Z53" s="2">
        <v>159.80000000000001</v>
      </c>
      <c r="AA53" s="2">
        <v>164.3</v>
      </c>
      <c r="AB53" s="2">
        <v>162.19999999999999</v>
      </c>
      <c r="AC53" s="51">
        <v>161.4</v>
      </c>
    </row>
    <row r="54" spans="1:29" x14ac:dyDescent="0.25">
      <c r="A54" s="52" t="s">
        <v>34</v>
      </c>
      <c r="B54" s="2">
        <v>2021</v>
      </c>
      <c r="C54" s="2" t="s">
        <v>46</v>
      </c>
      <c r="D54" s="2">
        <v>148.69999999999999</v>
      </c>
      <c r="E54" s="2">
        <v>198.8</v>
      </c>
      <c r="F54" s="2">
        <v>177.9</v>
      </c>
      <c r="G54" s="2">
        <v>159.9</v>
      </c>
      <c r="H54" s="2">
        <v>187.6</v>
      </c>
      <c r="I54" s="2">
        <v>154.9</v>
      </c>
      <c r="J54" s="2">
        <v>188.3</v>
      </c>
      <c r="K54" s="2">
        <v>164.4</v>
      </c>
      <c r="L54" s="2">
        <v>121</v>
      </c>
      <c r="M54" s="2">
        <v>170.5</v>
      </c>
      <c r="N54" s="2">
        <v>164.2</v>
      </c>
      <c r="O54" s="2">
        <v>176.5</v>
      </c>
      <c r="P54" s="2">
        <v>168.2</v>
      </c>
      <c r="Q54" s="2">
        <v>192.4</v>
      </c>
      <c r="R54" s="2">
        <v>168.5</v>
      </c>
      <c r="S54" s="2">
        <v>158.69999999999999</v>
      </c>
      <c r="T54" s="2">
        <v>167</v>
      </c>
      <c r="U54" s="2">
        <v>163.4</v>
      </c>
      <c r="V54" s="2">
        <v>164.1</v>
      </c>
      <c r="W54" s="2">
        <v>160.19999999999999</v>
      </c>
      <c r="X54" s="2">
        <v>170.6</v>
      </c>
      <c r="Y54" s="2">
        <v>155.69999999999999</v>
      </c>
      <c r="Z54" s="2">
        <v>160.6</v>
      </c>
      <c r="AA54" s="2">
        <v>164.4</v>
      </c>
      <c r="AB54" s="2">
        <v>162.6</v>
      </c>
      <c r="AC54" s="51">
        <v>162</v>
      </c>
    </row>
    <row r="55" spans="1:29" x14ac:dyDescent="0.25">
      <c r="A55" s="52" t="s">
        <v>34</v>
      </c>
      <c r="B55" s="2">
        <v>2022</v>
      </c>
      <c r="C55" s="2" t="s">
        <v>31</v>
      </c>
      <c r="D55" s="2">
        <v>149.5</v>
      </c>
      <c r="E55" s="2">
        <v>198.7</v>
      </c>
      <c r="F55" s="2">
        <v>178.8</v>
      </c>
      <c r="G55" s="2">
        <v>160.5</v>
      </c>
      <c r="H55" s="2">
        <v>184.7</v>
      </c>
      <c r="I55" s="2">
        <v>153.69999999999999</v>
      </c>
      <c r="J55" s="2">
        <v>174.3</v>
      </c>
      <c r="K55" s="2">
        <v>163.9</v>
      </c>
      <c r="L55" s="2">
        <v>120</v>
      </c>
      <c r="M55" s="2">
        <v>172.1</v>
      </c>
      <c r="N55" s="2">
        <v>164.3</v>
      </c>
      <c r="O55" s="2">
        <v>177.3</v>
      </c>
      <c r="P55" s="2">
        <v>166.4</v>
      </c>
      <c r="Q55" s="2">
        <v>192.2</v>
      </c>
      <c r="R55" s="2">
        <v>169.9</v>
      </c>
      <c r="S55" s="2">
        <v>160.69999999999999</v>
      </c>
      <c r="T55" s="2">
        <v>168.5</v>
      </c>
      <c r="U55" s="2">
        <v>164.5</v>
      </c>
      <c r="V55" s="2">
        <v>164.2</v>
      </c>
      <c r="W55" s="2">
        <v>161.1</v>
      </c>
      <c r="X55" s="2">
        <v>171.4</v>
      </c>
      <c r="Y55" s="2">
        <v>156.5</v>
      </c>
      <c r="Z55" s="2">
        <v>161.19999999999999</v>
      </c>
      <c r="AA55" s="2">
        <v>164.7</v>
      </c>
      <c r="AB55" s="2">
        <v>163</v>
      </c>
      <c r="AC55" s="51">
        <v>162.69999999999999</v>
      </c>
    </row>
    <row r="56" spans="1:29" x14ac:dyDescent="0.25">
      <c r="A56" s="52" t="s">
        <v>34</v>
      </c>
      <c r="B56" s="2">
        <v>2022</v>
      </c>
      <c r="C56" s="2" t="s">
        <v>35</v>
      </c>
      <c r="D56" s="2">
        <v>150</v>
      </c>
      <c r="E56" s="2">
        <v>200.6</v>
      </c>
      <c r="F56" s="2">
        <v>175.8</v>
      </c>
      <c r="G56" s="2">
        <v>160.69999999999999</v>
      </c>
      <c r="H56" s="2">
        <v>184.9</v>
      </c>
      <c r="I56" s="2">
        <v>153.69999999999999</v>
      </c>
      <c r="J56" s="2">
        <v>169.7</v>
      </c>
      <c r="K56" s="2">
        <v>163.69999999999999</v>
      </c>
      <c r="L56" s="2">
        <v>118.9</v>
      </c>
      <c r="M56" s="2">
        <v>174.3</v>
      </c>
      <c r="N56" s="2">
        <v>164.7</v>
      </c>
      <c r="O56" s="2">
        <v>178</v>
      </c>
      <c r="P56" s="2">
        <v>166.2</v>
      </c>
      <c r="Q56" s="2">
        <v>192.8</v>
      </c>
      <c r="R56" s="2">
        <v>170.8</v>
      </c>
      <c r="S56" s="2">
        <v>162.4</v>
      </c>
      <c r="T56" s="2">
        <v>169.6</v>
      </c>
      <c r="U56" s="2">
        <v>165.5</v>
      </c>
      <c r="V56" s="2">
        <v>165.7</v>
      </c>
      <c r="W56" s="2">
        <v>161.80000000000001</v>
      </c>
      <c r="X56" s="2">
        <v>172.2</v>
      </c>
      <c r="Y56" s="2">
        <v>156.9</v>
      </c>
      <c r="Z56" s="2">
        <v>162.1</v>
      </c>
      <c r="AA56" s="2">
        <v>165.4</v>
      </c>
      <c r="AB56" s="2">
        <v>164.4</v>
      </c>
      <c r="AC56" s="51">
        <v>163.5</v>
      </c>
    </row>
    <row r="57" spans="1:29" x14ac:dyDescent="0.25">
      <c r="A57" s="52" t="s">
        <v>34</v>
      </c>
      <c r="B57" s="2">
        <v>2022</v>
      </c>
      <c r="C57" s="2" t="s">
        <v>36</v>
      </c>
      <c r="D57" s="2">
        <v>151.30000000000001</v>
      </c>
      <c r="E57" s="2">
        <v>210.7</v>
      </c>
      <c r="F57" s="2">
        <v>167.8</v>
      </c>
      <c r="G57" s="2">
        <v>162.19999999999999</v>
      </c>
      <c r="H57" s="2">
        <v>194.6</v>
      </c>
      <c r="I57" s="2">
        <v>157.6</v>
      </c>
      <c r="J57" s="2">
        <v>166.9</v>
      </c>
      <c r="K57" s="2">
        <v>163.9</v>
      </c>
      <c r="L57" s="2">
        <v>118.8</v>
      </c>
      <c r="M57" s="2">
        <v>177.4</v>
      </c>
      <c r="N57" s="2">
        <v>165.3</v>
      </c>
      <c r="O57" s="2">
        <v>179.3</v>
      </c>
      <c r="P57" s="2">
        <v>168.4</v>
      </c>
      <c r="Q57" s="2">
        <v>193.7</v>
      </c>
      <c r="R57" s="2">
        <v>172.1</v>
      </c>
      <c r="S57" s="2">
        <v>164.6</v>
      </c>
      <c r="T57" s="2">
        <v>171.1</v>
      </c>
      <c r="U57" s="2">
        <v>165.3</v>
      </c>
      <c r="V57" s="2">
        <v>167.2</v>
      </c>
      <c r="W57" s="2">
        <v>162.80000000000001</v>
      </c>
      <c r="X57" s="2">
        <v>173</v>
      </c>
      <c r="Y57" s="2">
        <v>157.9</v>
      </c>
      <c r="Z57" s="2">
        <v>163.30000000000001</v>
      </c>
      <c r="AA57" s="2">
        <v>166</v>
      </c>
      <c r="AB57" s="2">
        <v>167.2</v>
      </c>
      <c r="AC57" s="51">
        <v>164.6</v>
      </c>
    </row>
    <row r="58" spans="1:29" x14ac:dyDescent="0.25">
      <c r="A58" s="52" t="s">
        <v>34</v>
      </c>
      <c r="B58" s="2">
        <v>2022</v>
      </c>
      <c r="C58" s="2" t="s">
        <v>37</v>
      </c>
      <c r="D58" s="2">
        <v>152.9</v>
      </c>
      <c r="E58" s="2">
        <v>211.8</v>
      </c>
      <c r="F58" s="2">
        <v>164.5</v>
      </c>
      <c r="G58" s="2">
        <v>163.9</v>
      </c>
      <c r="H58" s="2">
        <v>199.5</v>
      </c>
      <c r="I58" s="2">
        <v>172.6</v>
      </c>
      <c r="J58" s="2">
        <v>166.2</v>
      </c>
      <c r="K58" s="2">
        <v>164.7</v>
      </c>
      <c r="L58" s="2">
        <v>119</v>
      </c>
      <c r="M58" s="2">
        <v>181.3</v>
      </c>
      <c r="N58" s="2">
        <v>166.2</v>
      </c>
      <c r="O58" s="2">
        <v>180.9</v>
      </c>
      <c r="P58" s="2">
        <v>170.8</v>
      </c>
      <c r="Q58" s="2">
        <v>193.9</v>
      </c>
      <c r="R58" s="2">
        <v>173.9</v>
      </c>
      <c r="S58" s="2">
        <v>166.5</v>
      </c>
      <c r="T58" s="2">
        <v>172.8</v>
      </c>
      <c r="U58" s="2">
        <v>167</v>
      </c>
      <c r="V58" s="2">
        <v>172.2</v>
      </c>
      <c r="W58" s="2">
        <v>164</v>
      </c>
      <c r="X58" s="2">
        <v>174</v>
      </c>
      <c r="Y58" s="2">
        <v>162.6</v>
      </c>
      <c r="Z58" s="2">
        <v>164.4</v>
      </c>
      <c r="AA58" s="2">
        <v>166.9</v>
      </c>
      <c r="AB58" s="2">
        <v>168.8</v>
      </c>
      <c r="AC58" s="51">
        <v>166.8</v>
      </c>
    </row>
    <row r="59" spans="1:29" x14ac:dyDescent="0.25">
      <c r="A59" s="52" t="s">
        <v>34</v>
      </c>
      <c r="B59" s="2">
        <v>2022</v>
      </c>
      <c r="C59" s="2" t="s">
        <v>38</v>
      </c>
      <c r="D59" s="2">
        <v>154.1</v>
      </c>
      <c r="E59" s="2">
        <v>217</v>
      </c>
      <c r="F59" s="2">
        <v>162.4</v>
      </c>
      <c r="G59" s="2">
        <v>164.9</v>
      </c>
      <c r="H59" s="2">
        <v>202.4</v>
      </c>
      <c r="I59" s="2">
        <v>171</v>
      </c>
      <c r="J59" s="2">
        <v>174.9</v>
      </c>
      <c r="K59" s="2">
        <v>164.7</v>
      </c>
      <c r="L59" s="2">
        <v>119.7</v>
      </c>
      <c r="M59" s="2">
        <v>184.9</v>
      </c>
      <c r="N59" s="2">
        <v>167.1</v>
      </c>
      <c r="O59" s="2">
        <v>182.5</v>
      </c>
      <c r="P59" s="2">
        <v>173.3</v>
      </c>
      <c r="Q59" s="2">
        <v>194.1</v>
      </c>
      <c r="R59" s="2">
        <v>175.6</v>
      </c>
      <c r="S59" s="2">
        <v>168.4</v>
      </c>
      <c r="T59" s="2">
        <v>174.6</v>
      </c>
      <c r="U59" s="2">
        <v>167.5</v>
      </c>
      <c r="V59" s="2">
        <v>174.6</v>
      </c>
      <c r="W59" s="2">
        <v>165.2</v>
      </c>
      <c r="X59" s="2">
        <v>174.8</v>
      </c>
      <c r="Y59" s="2">
        <v>163</v>
      </c>
      <c r="Z59" s="2">
        <v>165.1</v>
      </c>
      <c r="AA59" s="2">
        <v>167.9</v>
      </c>
      <c r="AB59" s="2">
        <v>168.4</v>
      </c>
      <c r="AC59" s="51">
        <v>167.5</v>
      </c>
    </row>
    <row r="60" spans="1:29" x14ac:dyDescent="0.25">
      <c r="A60" s="52" t="s">
        <v>34</v>
      </c>
      <c r="B60" s="2">
        <v>2022</v>
      </c>
      <c r="C60" s="2" t="s">
        <v>39</v>
      </c>
      <c r="D60" s="2">
        <v>155</v>
      </c>
      <c r="E60" s="2">
        <v>219.4</v>
      </c>
      <c r="F60" s="2">
        <v>170.8</v>
      </c>
      <c r="G60" s="2">
        <v>165.8</v>
      </c>
      <c r="H60" s="2">
        <v>200.9</v>
      </c>
      <c r="I60" s="2">
        <v>169.7</v>
      </c>
      <c r="J60" s="2">
        <v>182.3</v>
      </c>
      <c r="K60" s="2">
        <v>164.3</v>
      </c>
      <c r="L60" s="2">
        <v>119.9</v>
      </c>
      <c r="M60" s="2">
        <v>187.1</v>
      </c>
      <c r="N60" s="2">
        <v>167.9</v>
      </c>
      <c r="O60" s="2">
        <v>183.9</v>
      </c>
      <c r="P60" s="2">
        <v>174.9</v>
      </c>
      <c r="Q60" s="2">
        <v>194.3</v>
      </c>
      <c r="R60" s="2">
        <v>177.1</v>
      </c>
      <c r="S60" s="2">
        <v>169.9</v>
      </c>
      <c r="T60" s="2">
        <v>176</v>
      </c>
      <c r="U60" s="2">
        <v>166.8</v>
      </c>
      <c r="V60" s="2">
        <v>176</v>
      </c>
      <c r="W60" s="2">
        <v>166.4</v>
      </c>
      <c r="X60" s="2">
        <v>175.4</v>
      </c>
      <c r="Y60" s="2">
        <v>161.1</v>
      </c>
      <c r="Z60" s="2">
        <v>165.8</v>
      </c>
      <c r="AA60" s="2">
        <v>169</v>
      </c>
      <c r="AB60" s="2">
        <v>169.4</v>
      </c>
      <c r="AC60" s="51">
        <v>167.5</v>
      </c>
    </row>
    <row r="61" spans="1:29" x14ac:dyDescent="0.25">
      <c r="A61" s="52" t="s">
        <v>34</v>
      </c>
      <c r="B61" s="2">
        <v>2022</v>
      </c>
      <c r="C61" s="2" t="s">
        <v>40</v>
      </c>
      <c r="D61" s="2">
        <v>156.5</v>
      </c>
      <c r="E61" s="2">
        <v>213</v>
      </c>
      <c r="F61" s="2">
        <v>175.2</v>
      </c>
      <c r="G61" s="2">
        <v>166.6</v>
      </c>
      <c r="H61" s="2">
        <v>195.8</v>
      </c>
      <c r="I61" s="2">
        <v>174.2</v>
      </c>
      <c r="J61" s="2">
        <v>182.1</v>
      </c>
      <c r="K61" s="2">
        <v>164.3</v>
      </c>
      <c r="L61" s="2">
        <v>120</v>
      </c>
      <c r="M61" s="2">
        <v>190</v>
      </c>
      <c r="N61" s="2">
        <v>168.4</v>
      </c>
      <c r="O61" s="2">
        <v>185.2</v>
      </c>
      <c r="P61" s="2">
        <v>175</v>
      </c>
      <c r="Q61" s="2">
        <v>194.6</v>
      </c>
      <c r="R61" s="2">
        <v>178.3</v>
      </c>
      <c r="S61" s="2">
        <v>171.3</v>
      </c>
      <c r="T61" s="2">
        <v>177.3</v>
      </c>
      <c r="U61" s="2">
        <v>167.8</v>
      </c>
      <c r="V61" s="2">
        <v>179.6</v>
      </c>
      <c r="W61" s="2">
        <v>167.4</v>
      </c>
      <c r="X61" s="2">
        <v>176.1</v>
      </c>
      <c r="Y61" s="2">
        <v>161.6</v>
      </c>
      <c r="Z61" s="2">
        <v>166.3</v>
      </c>
      <c r="AA61" s="2">
        <v>171.4</v>
      </c>
      <c r="AB61" s="2">
        <v>169.7</v>
      </c>
      <c r="AC61" s="51">
        <v>168.4</v>
      </c>
    </row>
    <row r="62" spans="1:29" x14ac:dyDescent="0.25">
      <c r="A62" s="52" t="s">
        <v>34</v>
      </c>
      <c r="B62" s="2">
        <v>2022</v>
      </c>
      <c r="C62" s="2" t="s">
        <v>41</v>
      </c>
      <c r="D62" s="2">
        <v>160.30000000000001</v>
      </c>
      <c r="E62" s="2">
        <v>206.5</v>
      </c>
      <c r="F62" s="2">
        <v>169.2</v>
      </c>
      <c r="G62" s="2">
        <v>168.1</v>
      </c>
      <c r="H62" s="2">
        <v>192.4</v>
      </c>
      <c r="I62" s="2">
        <v>172.9</v>
      </c>
      <c r="J62" s="2">
        <v>186.7</v>
      </c>
      <c r="K62" s="2">
        <v>167.2</v>
      </c>
      <c r="L62" s="2">
        <v>120.9</v>
      </c>
      <c r="M62" s="2">
        <v>193.6</v>
      </c>
      <c r="N62" s="2">
        <v>168.8</v>
      </c>
      <c r="O62" s="2">
        <v>186.3</v>
      </c>
      <c r="P62" s="2">
        <v>176.3</v>
      </c>
      <c r="Q62" s="2">
        <v>195</v>
      </c>
      <c r="R62" s="2">
        <v>179.5</v>
      </c>
      <c r="S62" s="2">
        <v>172.7</v>
      </c>
      <c r="T62" s="2">
        <v>178.5</v>
      </c>
      <c r="U62" s="2">
        <v>169</v>
      </c>
      <c r="V62" s="2">
        <v>178.8</v>
      </c>
      <c r="W62" s="2">
        <v>168.5</v>
      </c>
      <c r="X62" s="2">
        <v>176.8</v>
      </c>
      <c r="Y62" s="2">
        <v>161.9</v>
      </c>
      <c r="Z62" s="2">
        <v>166.9</v>
      </c>
      <c r="AA62" s="2">
        <v>172.3</v>
      </c>
      <c r="AB62" s="2">
        <v>171.2</v>
      </c>
      <c r="AC62" s="51">
        <v>169.1</v>
      </c>
    </row>
    <row r="63" spans="1:29" x14ac:dyDescent="0.25">
      <c r="A63" s="52" t="s">
        <v>34</v>
      </c>
      <c r="B63" s="2">
        <v>2022</v>
      </c>
      <c r="C63" s="2" t="s">
        <v>42</v>
      </c>
      <c r="D63" s="2">
        <v>163.5</v>
      </c>
      <c r="E63" s="2">
        <v>209.2</v>
      </c>
      <c r="F63" s="2">
        <v>169.7</v>
      </c>
      <c r="G63" s="2">
        <v>169.7</v>
      </c>
      <c r="H63" s="2">
        <v>188.7</v>
      </c>
      <c r="I63" s="2">
        <v>165.7</v>
      </c>
      <c r="J63" s="2">
        <v>191.8</v>
      </c>
      <c r="K63" s="2">
        <v>169.1</v>
      </c>
      <c r="L63" s="2">
        <v>121.6</v>
      </c>
      <c r="M63" s="2">
        <v>197.3</v>
      </c>
      <c r="N63" s="2">
        <v>169.4</v>
      </c>
      <c r="O63" s="2">
        <v>187.4</v>
      </c>
      <c r="P63" s="2">
        <v>177.8</v>
      </c>
      <c r="Q63" s="2">
        <v>195.9</v>
      </c>
      <c r="R63" s="2">
        <v>180.9</v>
      </c>
      <c r="S63" s="2">
        <v>174.3</v>
      </c>
      <c r="T63" s="2">
        <v>179.9</v>
      </c>
      <c r="U63" s="2">
        <v>169.5</v>
      </c>
      <c r="V63" s="2">
        <v>179.5</v>
      </c>
      <c r="W63" s="2">
        <v>169.5</v>
      </c>
      <c r="X63" s="2">
        <v>177.8</v>
      </c>
      <c r="Y63" s="2">
        <v>162.30000000000001</v>
      </c>
      <c r="Z63" s="2">
        <v>167.6</v>
      </c>
      <c r="AA63" s="2">
        <v>173.1</v>
      </c>
      <c r="AB63" s="2">
        <v>170.9</v>
      </c>
      <c r="AC63" s="51">
        <v>169.7</v>
      </c>
    </row>
    <row r="64" spans="1:29" x14ac:dyDescent="0.25">
      <c r="A64" s="52" t="s">
        <v>34</v>
      </c>
      <c r="B64" s="2">
        <v>2022</v>
      </c>
      <c r="C64" s="2" t="s">
        <v>43</v>
      </c>
      <c r="D64" s="2">
        <v>165.2</v>
      </c>
      <c r="E64" s="2">
        <v>210.9</v>
      </c>
      <c r="F64" s="2">
        <v>170.9</v>
      </c>
      <c r="G64" s="2">
        <v>170.9</v>
      </c>
      <c r="H64" s="2">
        <v>186.5</v>
      </c>
      <c r="I64" s="2">
        <v>163.80000000000001</v>
      </c>
      <c r="J64" s="2">
        <v>199.7</v>
      </c>
      <c r="K64" s="2">
        <v>169.8</v>
      </c>
      <c r="L64" s="2">
        <v>121.9</v>
      </c>
      <c r="M64" s="2">
        <v>199.9</v>
      </c>
      <c r="N64" s="2">
        <v>169.9</v>
      </c>
      <c r="O64" s="2">
        <v>188.3</v>
      </c>
      <c r="P64" s="2">
        <v>179.6</v>
      </c>
      <c r="Q64" s="2">
        <v>196.3</v>
      </c>
      <c r="R64" s="2">
        <v>181.9</v>
      </c>
      <c r="S64" s="2">
        <v>175.3</v>
      </c>
      <c r="T64" s="2">
        <v>181</v>
      </c>
      <c r="U64" s="2">
        <v>171.2</v>
      </c>
      <c r="V64" s="2">
        <v>180.5</v>
      </c>
      <c r="W64" s="2">
        <v>170.4</v>
      </c>
      <c r="X64" s="2">
        <v>178.7</v>
      </c>
      <c r="Y64" s="2">
        <v>162.9</v>
      </c>
      <c r="Z64" s="2">
        <v>168.2</v>
      </c>
      <c r="AA64" s="2">
        <v>173.4</v>
      </c>
      <c r="AB64" s="2">
        <v>172.1</v>
      </c>
      <c r="AC64" s="51">
        <v>170.5</v>
      </c>
    </row>
    <row r="65" spans="1:29" x14ac:dyDescent="0.25">
      <c r="A65" s="52" t="s">
        <v>34</v>
      </c>
      <c r="B65" s="2">
        <v>2022</v>
      </c>
      <c r="C65" s="2" t="s">
        <v>45</v>
      </c>
      <c r="D65" s="2">
        <v>167.4</v>
      </c>
      <c r="E65" s="2">
        <v>209.4</v>
      </c>
      <c r="F65" s="2">
        <v>181.4</v>
      </c>
      <c r="G65" s="2">
        <v>172.3</v>
      </c>
      <c r="H65" s="2">
        <v>188.9</v>
      </c>
      <c r="I65" s="2">
        <v>160.69999999999999</v>
      </c>
      <c r="J65" s="2">
        <v>183.1</v>
      </c>
      <c r="K65" s="2">
        <v>170.5</v>
      </c>
      <c r="L65" s="2">
        <v>122.1</v>
      </c>
      <c r="M65" s="2">
        <v>202.8</v>
      </c>
      <c r="N65" s="2">
        <v>170.4</v>
      </c>
      <c r="O65" s="2">
        <v>189.5</v>
      </c>
      <c r="P65" s="2">
        <v>178.3</v>
      </c>
      <c r="Q65" s="2">
        <v>196.9</v>
      </c>
      <c r="R65" s="2">
        <v>183.1</v>
      </c>
      <c r="S65" s="2">
        <v>176.2</v>
      </c>
      <c r="T65" s="2">
        <v>182.1</v>
      </c>
      <c r="U65" s="2">
        <v>171.8</v>
      </c>
      <c r="V65" s="2">
        <v>181.3</v>
      </c>
      <c r="W65" s="2">
        <v>171.4</v>
      </c>
      <c r="X65" s="2">
        <v>179.8</v>
      </c>
      <c r="Y65" s="2">
        <v>163</v>
      </c>
      <c r="Z65" s="2">
        <v>168.5</v>
      </c>
      <c r="AA65" s="2">
        <v>173.7</v>
      </c>
      <c r="AB65" s="2">
        <v>173.6</v>
      </c>
      <c r="AC65" s="51">
        <v>171.1</v>
      </c>
    </row>
    <row r="66" spans="1:29" x14ac:dyDescent="0.25">
      <c r="A66" s="52" t="s">
        <v>34</v>
      </c>
      <c r="B66" s="2">
        <v>2022</v>
      </c>
      <c r="C66" s="2" t="s">
        <v>46</v>
      </c>
      <c r="D66" s="2">
        <v>169.2</v>
      </c>
      <c r="E66" s="2">
        <v>209</v>
      </c>
      <c r="F66" s="2">
        <v>190.2</v>
      </c>
      <c r="G66" s="2">
        <v>173.6</v>
      </c>
      <c r="H66" s="2">
        <v>188.5</v>
      </c>
      <c r="I66" s="2">
        <v>158</v>
      </c>
      <c r="J66" s="2">
        <v>159.9</v>
      </c>
      <c r="K66" s="2">
        <v>170.8</v>
      </c>
      <c r="L66" s="2">
        <v>121.8</v>
      </c>
      <c r="M66" s="2">
        <v>205.2</v>
      </c>
      <c r="N66" s="2">
        <v>171</v>
      </c>
      <c r="O66" s="2">
        <v>190.3</v>
      </c>
      <c r="P66" s="2">
        <v>175.9</v>
      </c>
      <c r="Q66" s="2">
        <v>197.3</v>
      </c>
      <c r="R66" s="2">
        <v>184</v>
      </c>
      <c r="S66" s="2">
        <v>177</v>
      </c>
      <c r="T66" s="2">
        <v>183</v>
      </c>
      <c r="U66" s="2">
        <v>170.7</v>
      </c>
      <c r="V66" s="2">
        <v>182</v>
      </c>
      <c r="W66" s="2">
        <v>172.1</v>
      </c>
      <c r="X66" s="2">
        <v>181.1</v>
      </c>
      <c r="Y66" s="2">
        <v>163.4</v>
      </c>
      <c r="Z66" s="2">
        <v>168.9</v>
      </c>
      <c r="AA66" s="2">
        <v>174.1</v>
      </c>
      <c r="AB66" s="2">
        <v>175.8</v>
      </c>
      <c r="AC66" s="51">
        <v>172</v>
      </c>
    </row>
    <row r="67" spans="1:29" x14ac:dyDescent="0.25">
      <c r="A67" s="52" t="s">
        <v>34</v>
      </c>
      <c r="B67" s="2">
        <v>2023</v>
      </c>
      <c r="C67" s="2" t="s">
        <v>31</v>
      </c>
      <c r="D67" s="2">
        <v>173.8</v>
      </c>
      <c r="E67" s="2">
        <v>210.7</v>
      </c>
      <c r="F67" s="2">
        <v>194.5</v>
      </c>
      <c r="G67" s="2">
        <v>174.6</v>
      </c>
      <c r="H67" s="2">
        <v>187.2</v>
      </c>
      <c r="I67" s="2">
        <v>158.30000000000001</v>
      </c>
      <c r="J67" s="2">
        <v>153.9</v>
      </c>
      <c r="K67" s="2">
        <v>170.9</v>
      </c>
      <c r="L67" s="2">
        <v>121.1</v>
      </c>
      <c r="M67" s="2">
        <v>208.4</v>
      </c>
      <c r="N67" s="2">
        <v>171.4</v>
      </c>
      <c r="O67" s="2">
        <v>191.2</v>
      </c>
      <c r="P67" s="2">
        <v>176.7</v>
      </c>
      <c r="Q67" s="2">
        <v>198.2</v>
      </c>
      <c r="R67" s="2">
        <v>184.9</v>
      </c>
      <c r="S67" s="2">
        <v>177.6</v>
      </c>
      <c r="T67" s="2">
        <v>183.8</v>
      </c>
      <c r="U67" s="2">
        <v>172.1</v>
      </c>
      <c r="V67" s="2">
        <v>182</v>
      </c>
      <c r="W67" s="2">
        <v>172.9</v>
      </c>
      <c r="X67" s="2">
        <v>182.3</v>
      </c>
      <c r="Y67" s="2">
        <v>163.6</v>
      </c>
      <c r="Z67" s="2">
        <v>169.5</v>
      </c>
      <c r="AA67" s="2">
        <v>174.3</v>
      </c>
      <c r="AB67" s="2">
        <v>178.6</v>
      </c>
      <c r="AC67" s="51">
        <v>172.8</v>
      </c>
    </row>
    <row r="68" spans="1:29" x14ac:dyDescent="0.25">
      <c r="A68" s="52" t="s">
        <v>34</v>
      </c>
      <c r="B68" s="2">
        <v>2023</v>
      </c>
      <c r="C68" s="2" t="s">
        <v>35</v>
      </c>
      <c r="D68" s="2">
        <v>174.4</v>
      </c>
      <c r="E68" s="2">
        <v>207.7</v>
      </c>
      <c r="F68" s="2">
        <v>175.2</v>
      </c>
      <c r="G68" s="2">
        <v>177.3</v>
      </c>
      <c r="H68" s="2">
        <v>179.3</v>
      </c>
      <c r="I68" s="2">
        <v>169.5</v>
      </c>
      <c r="J68" s="2">
        <v>152.69999999999999</v>
      </c>
      <c r="K68" s="2">
        <v>171</v>
      </c>
      <c r="L68" s="2">
        <v>120</v>
      </c>
      <c r="M68" s="2">
        <v>209.7</v>
      </c>
      <c r="N68" s="2">
        <v>172.3</v>
      </c>
      <c r="O68" s="2">
        <v>193</v>
      </c>
      <c r="P68" s="2">
        <v>177</v>
      </c>
      <c r="Q68" s="2">
        <v>199.5</v>
      </c>
      <c r="R68" s="2">
        <v>186.2</v>
      </c>
      <c r="S68" s="2">
        <v>178.7</v>
      </c>
      <c r="T68" s="2">
        <v>185.1</v>
      </c>
      <c r="U68" s="2">
        <v>173.5</v>
      </c>
      <c r="V68" s="2">
        <v>182.1</v>
      </c>
      <c r="W68" s="2">
        <v>174.2</v>
      </c>
      <c r="X68" s="2">
        <v>184.4</v>
      </c>
      <c r="Y68" s="2">
        <v>164.2</v>
      </c>
      <c r="Z68" s="2">
        <v>170.3</v>
      </c>
      <c r="AA68" s="2">
        <v>175</v>
      </c>
      <c r="AB68" s="2">
        <v>181</v>
      </c>
      <c r="AC68" s="51">
        <v>174.1</v>
      </c>
    </row>
    <row r="69" spans="1:29" x14ac:dyDescent="0.25">
      <c r="A69" s="52" t="s">
        <v>34</v>
      </c>
      <c r="B69" s="2">
        <v>2023</v>
      </c>
      <c r="C69" s="2" t="s">
        <v>36</v>
      </c>
      <c r="D69" s="2">
        <v>174.4</v>
      </c>
      <c r="E69" s="2">
        <v>207.7</v>
      </c>
      <c r="F69" s="2">
        <v>175.2</v>
      </c>
      <c r="G69" s="2">
        <v>177.3</v>
      </c>
      <c r="H69" s="2">
        <v>179.2</v>
      </c>
      <c r="I69" s="2">
        <v>169.5</v>
      </c>
      <c r="J69" s="2">
        <v>152.80000000000001</v>
      </c>
      <c r="K69" s="2">
        <v>171.1</v>
      </c>
      <c r="L69" s="2">
        <v>120</v>
      </c>
      <c r="M69" s="2">
        <v>209.7</v>
      </c>
      <c r="N69" s="2">
        <v>172.3</v>
      </c>
      <c r="O69" s="2">
        <v>193</v>
      </c>
      <c r="P69" s="2">
        <v>177</v>
      </c>
      <c r="Q69" s="2">
        <v>199.5</v>
      </c>
      <c r="R69" s="2">
        <v>186.1</v>
      </c>
      <c r="S69" s="2">
        <v>178.7</v>
      </c>
      <c r="T69" s="2">
        <v>185.1</v>
      </c>
      <c r="U69" s="2">
        <v>173.5</v>
      </c>
      <c r="V69" s="2">
        <v>181.9</v>
      </c>
      <c r="W69" s="2">
        <v>174.2</v>
      </c>
      <c r="X69" s="2">
        <v>184.4</v>
      </c>
      <c r="Y69" s="2">
        <v>164.2</v>
      </c>
      <c r="Z69" s="2">
        <v>170.3</v>
      </c>
      <c r="AA69" s="2">
        <v>175</v>
      </c>
      <c r="AB69" s="2">
        <v>181</v>
      </c>
      <c r="AC69" s="51">
        <v>174.1</v>
      </c>
    </row>
    <row r="70" spans="1:29" x14ac:dyDescent="0.25">
      <c r="A70" s="52" t="s">
        <v>34</v>
      </c>
      <c r="B70" s="2">
        <v>2023</v>
      </c>
      <c r="C70" s="2" t="s">
        <v>37</v>
      </c>
      <c r="D70" s="2">
        <v>173.8</v>
      </c>
      <c r="E70" s="2">
        <v>209.3</v>
      </c>
      <c r="F70" s="2">
        <v>169.6</v>
      </c>
      <c r="G70" s="2">
        <v>178.4</v>
      </c>
      <c r="H70" s="2">
        <v>174.9</v>
      </c>
      <c r="I70" s="2">
        <v>176.3</v>
      </c>
      <c r="J70" s="2">
        <v>155.4</v>
      </c>
      <c r="K70" s="2">
        <v>173.4</v>
      </c>
      <c r="L70" s="2">
        <v>121.3</v>
      </c>
      <c r="M70" s="2">
        <v>212.9</v>
      </c>
      <c r="N70" s="2">
        <v>172.9</v>
      </c>
      <c r="O70" s="2">
        <v>193.5</v>
      </c>
      <c r="P70" s="2">
        <v>177.9</v>
      </c>
      <c r="Q70" s="2">
        <v>200.6</v>
      </c>
      <c r="R70" s="2">
        <v>186.9</v>
      </c>
      <c r="S70" s="2">
        <v>179.2</v>
      </c>
      <c r="T70" s="2">
        <v>185.7</v>
      </c>
      <c r="U70" s="2">
        <v>175.2</v>
      </c>
      <c r="V70" s="2">
        <v>181.7</v>
      </c>
      <c r="W70" s="2">
        <v>174.6</v>
      </c>
      <c r="X70" s="2">
        <v>185</v>
      </c>
      <c r="Y70" s="2">
        <v>164.5</v>
      </c>
      <c r="Z70" s="2">
        <v>170.7</v>
      </c>
      <c r="AA70" s="2">
        <v>176.4</v>
      </c>
      <c r="AB70" s="2">
        <v>184</v>
      </c>
      <c r="AC70" s="51">
        <v>175</v>
      </c>
    </row>
    <row r="71" spans="1:29" x14ac:dyDescent="0.25">
      <c r="A71" s="52" t="s">
        <v>34</v>
      </c>
      <c r="B71" s="2">
        <v>2023</v>
      </c>
      <c r="C71" s="2" t="s">
        <v>38</v>
      </c>
      <c r="D71" s="2">
        <v>173.7</v>
      </c>
      <c r="E71" s="2">
        <v>214.3</v>
      </c>
      <c r="F71" s="2">
        <v>173.2</v>
      </c>
      <c r="G71" s="2">
        <v>179.5</v>
      </c>
      <c r="H71" s="2">
        <v>170</v>
      </c>
      <c r="I71" s="2">
        <v>172.2</v>
      </c>
      <c r="J71" s="2">
        <v>161</v>
      </c>
      <c r="K71" s="2">
        <v>175.6</v>
      </c>
      <c r="L71" s="2">
        <v>122.7</v>
      </c>
      <c r="M71" s="2">
        <v>218</v>
      </c>
      <c r="N71" s="2">
        <v>173.4</v>
      </c>
      <c r="O71" s="2">
        <v>194.2</v>
      </c>
      <c r="P71" s="2">
        <v>179.1</v>
      </c>
      <c r="Q71" s="2">
        <v>201</v>
      </c>
      <c r="R71" s="2">
        <v>187.3</v>
      </c>
      <c r="S71" s="2">
        <v>179.7</v>
      </c>
      <c r="T71" s="2">
        <v>186.2</v>
      </c>
      <c r="U71" s="2">
        <v>175.6</v>
      </c>
      <c r="V71" s="2">
        <v>182.8</v>
      </c>
      <c r="W71" s="2">
        <v>175.2</v>
      </c>
      <c r="X71" s="2">
        <v>185.7</v>
      </c>
      <c r="Y71" s="2">
        <v>164.8</v>
      </c>
      <c r="Z71" s="2">
        <v>171.2</v>
      </c>
      <c r="AA71" s="2">
        <v>177.1</v>
      </c>
      <c r="AB71" s="2">
        <v>185.2</v>
      </c>
      <c r="AC71" s="51">
        <v>175.7</v>
      </c>
    </row>
    <row r="72" spans="1:29" x14ac:dyDescent="0.25">
      <c r="A72" s="52" t="s">
        <v>33</v>
      </c>
      <c r="B72" s="2">
        <v>2020</v>
      </c>
      <c r="C72" s="2" t="s">
        <v>46</v>
      </c>
      <c r="D72" s="2">
        <v>149</v>
      </c>
      <c r="E72" s="2">
        <v>195.7</v>
      </c>
      <c r="F72" s="2">
        <v>178.3</v>
      </c>
      <c r="G72" s="2">
        <v>154.19999999999999</v>
      </c>
      <c r="H72" s="2">
        <v>140.69999999999999</v>
      </c>
      <c r="I72" s="2">
        <v>149.69999999999999</v>
      </c>
      <c r="J72" s="2">
        <v>240.9</v>
      </c>
      <c r="K72" s="2">
        <v>161.5</v>
      </c>
      <c r="L72" s="2">
        <v>117.1</v>
      </c>
      <c r="M72" s="2">
        <v>161.9</v>
      </c>
      <c r="N72" s="2">
        <v>143.30000000000001</v>
      </c>
      <c r="O72" s="2">
        <v>166.1</v>
      </c>
      <c r="P72" s="2">
        <v>167</v>
      </c>
      <c r="Q72" s="2">
        <v>190.2</v>
      </c>
      <c r="R72" s="2">
        <v>151.9</v>
      </c>
      <c r="S72" s="2">
        <v>136.69999999999999</v>
      </c>
      <c r="T72" s="2">
        <v>149.6</v>
      </c>
      <c r="U72" s="2">
        <v>158.4</v>
      </c>
      <c r="V72" s="2">
        <v>137.9</v>
      </c>
      <c r="W72" s="2">
        <v>145.5</v>
      </c>
      <c r="X72" s="2">
        <v>152.9</v>
      </c>
      <c r="Y72" s="2">
        <v>135.5</v>
      </c>
      <c r="Z72" s="2">
        <v>144.30000000000001</v>
      </c>
      <c r="AA72" s="2">
        <v>156.9</v>
      </c>
      <c r="AB72" s="2">
        <v>157.9</v>
      </c>
      <c r="AC72" s="51">
        <v>146.9</v>
      </c>
    </row>
    <row r="73" spans="1:29" x14ac:dyDescent="0.25">
      <c r="A73" s="52" t="s">
        <v>33</v>
      </c>
      <c r="B73" s="2">
        <v>2021</v>
      </c>
      <c r="C73" s="2" t="s">
        <v>31</v>
      </c>
      <c r="D73" s="2">
        <v>148</v>
      </c>
      <c r="E73" s="2">
        <v>194.8</v>
      </c>
      <c r="F73" s="2">
        <v>178.4</v>
      </c>
      <c r="G73" s="2">
        <v>154.4</v>
      </c>
      <c r="H73" s="2">
        <v>144.1</v>
      </c>
      <c r="I73" s="2">
        <v>152.6</v>
      </c>
      <c r="J73" s="2">
        <v>206.8</v>
      </c>
      <c r="K73" s="2">
        <v>162.1</v>
      </c>
      <c r="L73" s="2">
        <v>116.3</v>
      </c>
      <c r="M73" s="2">
        <v>163</v>
      </c>
      <c r="N73" s="2">
        <v>145.9</v>
      </c>
      <c r="O73" s="2">
        <v>167.2</v>
      </c>
      <c r="P73" s="2">
        <v>163.4</v>
      </c>
      <c r="Q73" s="2">
        <v>191.8</v>
      </c>
      <c r="R73" s="2">
        <v>152.5</v>
      </c>
      <c r="S73" s="2">
        <v>137.30000000000001</v>
      </c>
      <c r="T73" s="2">
        <v>150.19999999999999</v>
      </c>
      <c r="U73" s="2">
        <v>157.69999999999999</v>
      </c>
      <c r="V73" s="2">
        <v>142.9</v>
      </c>
      <c r="W73" s="2">
        <v>145.69999999999999</v>
      </c>
      <c r="X73" s="2">
        <v>154.1</v>
      </c>
      <c r="Y73" s="2">
        <v>136.9</v>
      </c>
      <c r="Z73" s="2">
        <v>145.4</v>
      </c>
      <c r="AA73" s="2">
        <v>156.1</v>
      </c>
      <c r="AB73" s="2">
        <v>157.69999999999999</v>
      </c>
      <c r="AC73" s="51">
        <v>147.6</v>
      </c>
    </row>
    <row r="74" spans="1:29" x14ac:dyDescent="0.25">
      <c r="A74" s="52" t="s">
        <v>33</v>
      </c>
      <c r="B74" s="2">
        <v>2021</v>
      </c>
      <c r="C74" s="2" t="s">
        <v>35</v>
      </c>
      <c r="D74" s="2">
        <v>147.6</v>
      </c>
      <c r="E74" s="2">
        <v>191.2</v>
      </c>
      <c r="F74" s="2">
        <v>169.9</v>
      </c>
      <c r="G74" s="2">
        <v>155.1</v>
      </c>
      <c r="H74" s="2">
        <v>151.4</v>
      </c>
      <c r="I74" s="2">
        <v>154</v>
      </c>
      <c r="J74" s="2">
        <v>180.2</v>
      </c>
      <c r="K74" s="2">
        <v>159.80000000000001</v>
      </c>
      <c r="L74" s="2">
        <v>114.9</v>
      </c>
      <c r="M74" s="2">
        <v>162.5</v>
      </c>
      <c r="N74" s="2">
        <v>149.19999999999999</v>
      </c>
      <c r="O74" s="2">
        <v>169.4</v>
      </c>
      <c r="P74" s="2">
        <v>160.80000000000001</v>
      </c>
      <c r="Q74" s="2">
        <v>193.3</v>
      </c>
      <c r="R74" s="2">
        <v>154.19999999999999</v>
      </c>
      <c r="S74" s="2">
        <v>138.19999999999999</v>
      </c>
      <c r="T74" s="2">
        <v>151.80000000000001</v>
      </c>
      <c r="U74" s="2">
        <v>159.80000000000001</v>
      </c>
      <c r="V74" s="2">
        <v>149.1</v>
      </c>
      <c r="W74" s="2">
        <v>146.5</v>
      </c>
      <c r="X74" s="2">
        <v>156.30000000000001</v>
      </c>
      <c r="Y74" s="2">
        <v>140.5</v>
      </c>
      <c r="Z74" s="2">
        <v>147.30000000000001</v>
      </c>
      <c r="AA74" s="2">
        <v>156.6</v>
      </c>
      <c r="AB74" s="2">
        <v>156.69999999999999</v>
      </c>
      <c r="AC74" s="51">
        <v>149.30000000000001</v>
      </c>
    </row>
    <row r="75" spans="1:29" x14ac:dyDescent="0.25">
      <c r="A75" s="52" t="s">
        <v>33</v>
      </c>
      <c r="B75" s="2">
        <v>2021</v>
      </c>
      <c r="C75" s="2" t="s">
        <v>36</v>
      </c>
      <c r="D75" s="2">
        <v>147.5</v>
      </c>
      <c r="E75" s="2">
        <v>197.5</v>
      </c>
      <c r="F75" s="2">
        <v>164.7</v>
      </c>
      <c r="G75" s="2">
        <v>155.6</v>
      </c>
      <c r="H75" s="2">
        <v>156.4</v>
      </c>
      <c r="I75" s="2">
        <v>157.30000000000001</v>
      </c>
      <c r="J75" s="2">
        <v>166.1</v>
      </c>
      <c r="K75" s="2">
        <v>161.1</v>
      </c>
      <c r="L75" s="2">
        <v>114.3</v>
      </c>
      <c r="M75" s="2">
        <v>162.6</v>
      </c>
      <c r="N75" s="2">
        <v>150.69999999999999</v>
      </c>
      <c r="O75" s="2">
        <v>170.3</v>
      </c>
      <c r="P75" s="2">
        <v>160.4</v>
      </c>
      <c r="Q75" s="2">
        <v>193.5</v>
      </c>
      <c r="R75" s="2">
        <v>155.1</v>
      </c>
      <c r="S75" s="2">
        <v>138.69999999999999</v>
      </c>
      <c r="T75" s="2">
        <v>152.6</v>
      </c>
      <c r="U75" s="2">
        <v>159.9</v>
      </c>
      <c r="V75" s="2">
        <v>154.80000000000001</v>
      </c>
      <c r="W75" s="2">
        <v>147.19999999999999</v>
      </c>
      <c r="X75" s="2">
        <v>156.9</v>
      </c>
      <c r="Y75" s="2">
        <v>141.69999999999999</v>
      </c>
      <c r="Z75" s="2">
        <v>148.6</v>
      </c>
      <c r="AA75" s="2">
        <v>157.6</v>
      </c>
      <c r="AB75" s="2">
        <v>154.9</v>
      </c>
      <c r="AC75" s="51">
        <v>150</v>
      </c>
    </row>
    <row r="76" spans="1:29" x14ac:dyDescent="0.25">
      <c r="A76" s="52" t="s">
        <v>33</v>
      </c>
      <c r="B76" s="2">
        <v>2021</v>
      </c>
      <c r="C76" s="2" t="s">
        <v>37</v>
      </c>
      <c r="D76" s="2">
        <v>147.6</v>
      </c>
      <c r="E76" s="2">
        <v>202.5</v>
      </c>
      <c r="F76" s="2">
        <v>166.4</v>
      </c>
      <c r="G76" s="2">
        <v>156</v>
      </c>
      <c r="H76" s="2">
        <v>161.4</v>
      </c>
      <c r="I76" s="2">
        <v>168.8</v>
      </c>
      <c r="J76" s="2">
        <v>161.6</v>
      </c>
      <c r="K76" s="2">
        <v>162.80000000000001</v>
      </c>
      <c r="L76" s="2">
        <v>114.8</v>
      </c>
      <c r="M76" s="2">
        <v>162.80000000000001</v>
      </c>
      <c r="N76" s="2">
        <v>151.5</v>
      </c>
      <c r="O76" s="2">
        <v>171.4</v>
      </c>
      <c r="P76" s="2">
        <v>162</v>
      </c>
      <c r="Q76" s="2">
        <v>194.4</v>
      </c>
      <c r="R76" s="2">
        <v>155.9</v>
      </c>
      <c r="S76" s="2">
        <v>139.30000000000001</v>
      </c>
      <c r="T76" s="2">
        <v>153.4</v>
      </c>
      <c r="U76" s="2">
        <v>161.4</v>
      </c>
      <c r="V76" s="2">
        <v>154.9</v>
      </c>
      <c r="W76" s="2">
        <v>147.6</v>
      </c>
      <c r="X76" s="2">
        <v>157.5</v>
      </c>
      <c r="Y76" s="2">
        <v>142.1</v>
      </c>
      <c r="Z76" s="2">
        <v>149.1</v>
      </c>
      <c r="AA76" s="2">
        <v>157.6</v>
      </c>
      <c r="AB76" s="2">
        <v>156.6</v>
      </c>
      <c r="AC76" s="51">
        <v>150.5</v>
      </c>
    </row>
    <row r="77" spans="1:29" x14ac:dyDescent="0.25">
      <c r="A77" s="52" t="s">
        <v>33</v>
      </c>
      <c r="B77" s="2">
        <v>2021</v>
      </c>
      <c r="C77" s="2" t="s">
        <v>38</v>
      </c>
      <c r="D77" s="2">
        <v>148.80000000000001</v>
      </c>
      <c r="E77" s="2">
        <v>204.3</v>
      </c>
      <c r="F77" s="2">
        <v>173</v>
      </c>
      <c r="G77" s="2">
        <v>156.5</v>
      </c>
      <c r="H77" s="2">
        <v>168.8</v>
      </c>
      <c r="I77" s="2">
        <v>172.5</v>
      </c>
      <c r="J77" s="2">
        <v>166.5</v>
      </c>
      <c r="K77" s="2">
        <v>165.9</v>
      </c>
      <c r="L77" s="2">
        <v>115.9</v>
      </c>
      <c r="M77" s="2">
        <v>165.2</v>
      </c>
      <c r="N77" s="2">
        <v>152</v>
      </c>
      <c r="O77" s="2">
        <v>171.1</v>
      </c>
      <c r="P77" s="2">
        <v>164.2</v>
      </c>
      <c r="Q77" s="2">
        <v>198.2</v>
      </c>
      <c r="R77" s="2">
        <v>156.5</v>
      </c>
      <c r="S77" s="2">
        <v>140.19999999999999</v>
      </c>
      <c r="T77" s="2">
        <v>154.1</v>
      </c>
      <c r="U77" s="2">
        <v>161.6</v>
      </c>
      <c r="V77" s="2">
        <v>155.5</v>
      </c>
      <c r="W77" s="2">
        <v>150.1</v>
      </c>
      <c r="X77" s="2">
        <v>160.4</v>
      </c>
      <c r="Y77" s="2">
        <v>145</v>
      </c>
      <c r="Z77" s="2">
        <v>152.6</v>
      </c>
      <c r="AA77" s="2">
        <v>156.6</v>
      </c>
      <c r="AB77" s="2">
        <v>157.5</v>
      </c>
      <c r="AC77" s="51">
        <v>152.30000000000001</v>
      </c>
    </row>
    <row r="78" spans="1:29" x14ac:dyDescent="0.25">
      <c r="A78" s="52" t="s">
        <v>33</v>
      </c>
      <c r="B78" s="2">
        <v>2021</v>
      </c>
      <c r="C78" s="2" t="s">
        <v>39</v>
      </c>
      <c r="D78" s="2">
        <v>149.19999999999999</v>
      </c>
      <c r="E78" s="2">
        <v>205.5</v>
      </c>
      <c r="F78" s="2">
        <v>182.8</v>
      </c>
      <c r="G78" s="2">
        <v>156.5</v>
      </c>
      <c r="H78" s="2">
        <v>172.2</v>
      </c>
      <c r="I78" s="2">
        <v>171.5</v>
      </c>
      <c r="J78" s="2">
        <v>176.2</v>
      </c>
      <c r="K78" s="2">
        <v>166.9</v>
      </c>
      <c r="L78" s="2">
        <v>116.1</v>
      </c>
      <c r="M78" s="2">
        <v>165.5</v>
      </c>
      <c r="N78" s="2">
        <v>152.30000000000001</v>
      </c>
      <c r="O78" s="2">
        <v>173.3</v>
      </c>
      <c r="P78" s="2">
        <v>166.2</v>
      </c>
      <c r="Q78" s="2">
        <v>195.6</v>
      </c>
      <c r="R78" s="2">
        <v>157.30000000000001</v>
      </c>
      <c r="S78" s="2">
        <v>140.5</v>
      </c>
      <c r="T78" s="2">
        <v>154.80000000000001</v>
      </c>
      <c r="U78" s="2">
        <v>160.5</v>
      </c>
      <c r="V78" s="2">
        <v>156.1</v>
      </c>
      <c r="W78" s="2">
        <v>149.80000000000001</v>
      </c>
      <c r="X78" s="2">
        <v>160.80000000000001</v>
      </c>
      <c r="Y78" s="2">
        <v>147.5</v>
      </c>
      <c r="Z78" s="2">
        <v>150.69999999999999</v>
      </c>
      <c r="AA78" s="2">
        <v>158.1</v>
      </c>
      <c r="AB78" s="2">
        <v>158</v>
      </c>
      <c r="AC78" s="51">
        <v>153.4</v>
      </c>
    </row>
    <row r="79" spans="1:29" x14ac:dyDescent="0.25">
      <c r="A79" s="52" t="s">
        <v>33</v>
      </c>
      <c r="B79" s="2">
        <v>2021</v>
      </c>
      <c r="C79" s="2" t="s">
        <v>40</v>
      </c>
      <c r="D79" s="2">
        <v>149.1</v>
      </c>
      <c r="E79" s="2">
        <v>210.9</v>
      </c>
      <c r="F79" s="2">
        <v>185</v>
      </c>
      <c r="G79" s="2">
        <v>158.19999999999999</v>
      </c>
      <c r="H79" s="2">
        <v>170.6</v>
      </c>
      <c r="I79" s="2">
        <v>170.9</v>
      </c>
      <c r="J79" s="2">
        <v>186.4</v>
      </c>
      <c r="K79" s="2">
        <v>164.7</v>
      </c>
      <c r="L79" s="2">
        <v>115.7</v>
      </c>
      <c r="M79" s="2">
        <v>165.5</v>
      </c>
      <c r="N79" s="2">
        <v>153.4</v>
      </c>
      <c r="O79" s="2">
        <v>173.5</v>
      </c>
      <c r="P79" s="2">
        <v>167.9</v>
      </c>
      <c r="Q79" s="2">
        <v>195.5</v>
      </c>
      <c r="R79" s="2">
        <v>157.9</v>
      </c>
      <c r="S79" s="2">
        <v>141.9</v>
      </c>
      <c r="T79" s="2">
        <v>155.5</v>
      </c>
      <c r="U79" s="2">
        <v>161.5</v>
      </c>
      <c r="V79" s="2">
        <v>157.69999999999999</v>
      </c>
      <c r="W79" s="2">
        <v>150.69999999999999</v>
      </c>
      <c r="X79" s="2">
        <v>161.5</v>
      </c>
      <c r="Y79" s="2">
        <v>149.5</v>
      </c>
      <c r="Z79" s="2">
        <v>151.19999999999999</v>
      </c>
      <c r="AA79" s="2">
        <v>160.30000000000001</v>
      </c>
      <c r="AB79" s="2">
        <v>159.6</v>
      </c>
      <c r="AC79" s="51">
        <v>155</v>
      </c>
    </row>
    <row r="80" spans="1:29" x14ac:dyDescent="0.25">
      <c r="A80" s="52" t="s">
        <v>33</v>
      </c>
      <c r="B80" s="2">
        <v>2021</v>
      </c>
      <c r="C80" s="2" t="s">
        <v>41</v>
      </c>
      <c r="D80" s="2">
        <v>149.30000000000001</v>
      </c>
      <c r="E80" s="2">
        <v>207.4</v>
      </c>
      <c r="F80" s="2">
        <v>174.1</v>
      </c>
      <c r="G80" s="2">
        <v>159.19999999999999</v>
      </c>
      <c r="H80" s="2">
        <v>175</v>
      </c>
      <c r="I80" s="2">
        <v>161.30000000000001</v>
      </c>
      <c r="J80" s="2">
        <v>183.3</v>
      </c>
      <c r="K80" s="2">
        <v>164.5</v>
      </c>
      <c r="L80" s="2">
        <v>120.4</v>
      </c>
      <c r="M80" s="2">
        <v>166.2</v>
      </c>
      <c r="N80" s="2">
        <v>154.80000000000001</v>
      </c>
      <c r="O80" s="2">
        <v>175.1</v>
      </c>
      <c r="P80" s="2">
        <v>167.3</v>
      </c>
      <c r="Q80" s="2">
        <v>196.5</v>
      </c>
      <c r="R80" s="2">
        <v>159.80000000000001</v>
      </c>
      <c r="S80" s="2">
        <v>143.6</v>
      </c>
      <c r="T80" s="2">
        <v>157.30000000000001</v>
      </c>
      <c r="U80" s="2">
        <v>162.1</v>
      </c>
      <c r="V80" s="2">
        <v>160.69999999999999</v>
      </c>
      <c r="W80" s="2">
        <v>153.19999999999999</v>
      </c>
      <c r="X80" s="2">
        <v>162.80000000000001</v>
      </c>
      <c r="Y80" s="2">
        <v>150.4</v>
      </c>
      <c r="Z80" s="2">
        <v>153.69999999999999</v>
      </c>
      <c r="AA80" s="2">
        <v>160.4</v>
      </c>
      <c r="AB80" s="2">
        <v>159.6</v>
      </c>
      <c r="AC80" s="51">
        <v>156</v>
      </c>
    </row>
    <row r="81" spans="1:29" x14ac:dyDescent="0.25">
      <c r="A81" s="52" t="s">
        <v>33</v>
      </c>
      <c r="B81" s="2">
        <v>2021</v>
      </c>
      <c r="C81" s="2" t="s">
        <v>42</v>
      </c>
      <c r="D81" s="2">
        <v>149.30000000000001</v>
      </c>
      <c r="E81" s="2">
        <v>207.4</v>
      </c>
      <c r="F81" s="2">
        <v>174.1</v>
      </c>
      <c r="G81" s="2">
        <v>159.1</v>
      </c>
      <c r="H81" s="2">
        <v>175</v>
      </c>
      <c r="I81" s="2">
        <v>161.19999999999999</v>
      </c>
      <c r="J81" s="2">
        <v>183.5</v>
      </c>
      <c r="K81" s="2">
        <v>164.5</v>
      </c>
      <c r="L81" s="2">
        <v>120.4</v>
      </c>
      <c r="M81" s="2">
        <v>166.2</v>
      </c>
      <c r="N81" s="2">
        <v>154.80000000000001</v>
      </c>
      <c r="O81" s="2">
        <v>175.1</v>
      </c>
      <c r="P81" s="2">
        <v>167.3</v>
      </c>
      <c r="Q81" s="2">
        <v>196.5</v>
      </c>
      <c r="R81" s="2">
        <v>159.80000000000001</v>
      </c>
      <c r="S81" s="2">
        <v>143.6</v>
      </c>
      <c r="T81" s="2">
        <v>157.4</v>
      </c>
      <c r="U81" s="2">
        <v>162.1</v>
      </c>
      <c r="V81" s="2">
        <v>160.80000000000001</v>
      </c>
      <c r="W81" s="2">
        <v>153.30000000000001</v>
      </c>
      <c r="X81" s="2">
        <v>162.80000000000001</v>
      </c>
      <c r="Y81" s="2">
        <v>150.5</v>
      </c>
      <c r="Z81" s="2">
        <v>153.9</v>
      </c>
      <c r="AA81" s="2">
        <v>160.30000000000001</v>
      </c>
      <c r="AB81" s="2">
        <v>159.6</v>
      </c>
      <c r="AC81" s="51">
        <v>156</v>
      </c>
    </row>
    <row r="82" spans="1:29" x14ac:dyDescent="0.25">
      <c r="A82" s="52" t="s">
        <v>33</v>
      </c>
      <c r="B82" s="2">
        <v>2021</v>
      </c>
      <c r="C82" s="2" t="s">
        <v>43</v>
      </c>
      <c r="D82" s="2">
        <v>150.1</v>
      </c>
      <c r="E82" s="2">
        <v>208.4</v>
      </c>
      <c r="F82" s="2">
        <v>173</v>
      </c>
      <c r="G82" s="2">
        <v>159.19999999999999</v>
      </c>
      <c r="H82" s="2">
        <v>176.6</v>
      </c>
      <c r="I82" s="2">
        <v>159.30000000000001</v>
      </c>
      <c r="J82" s="2">
        <v>214.4</v>
      </c>
      <c r="K82" s="2">
        <v>165.3</v>
      </c>
      <c r="L82" s="2">
        <v>122.5</v>
      </c>
      <c r="M82" s="2">
        <v>166.8</v>
      </c>
      <c r="N82" s="2">
        <v>155.4</v>
      </c>
      <c r="O82" s="2">
        <v>175.9</v>
      </c>
      <c r="P82" s="2">
        <v>171.5</v>
      </c>
      <c r="Q82" s="2">
        <v>197</v>
      </c>
      <c r="R82" s="2">
        <v>160.80000000000001</v>
      </c>
      <c r="S82" s="2">
        <v>144.4</v>
      </c>
      <c r="T82" s="2">
        <v>158.30000000000001</v>
      </c>
      <c r="U82" s="2">
        <v>163.6</v>
      </c>
      <c r="V82" s="2">
        <v>162.19999999999999</v>
      </c>
      <c r="W82" s="2">
        <v>154.30000000000001</v>
      </c>
      <c r="X82" s="2">
        <v>163.5</v>
      </c>
      <c r="Y82" s="2">
        <v>152.19999999999999</v>
      </c>
      <c r="Z82" s="2">
        <v>155.1</v>
      </c>
      <c r="AA82" s="2">
        <v>160.30000000000001</v>
      </c>
      <c r="AB82" s="2">
        <v>160.30000000000001</v>
      </c>
      <c r="AC82" s="51">
        <v>157</v>
      </c>
    </row>
    <row r="83" spans="1:29" x14ac:dyDescent="0.25">
      <c r="A83" s="52" t="s">
        <v>33</v>
      </c>
      <c r="B83" s="2">
        <v>2021</v>
      </c>
      <c r="C83" s="2" t="s">
        <v>45</v>
      </c>
      <c r="D83" s="2">
        <v>151</v>
      </c>
      <c r="E83" s="2">
        <v>204.9</v>
      </c>
      <c r="F83" s="2">
        <v>175.4</v>
      </c>
      <c r="G83" s="2">
        <v>159.6</v>
      </c>
      <c r="H83" s="2">
        <v>175.8</v>
      </c>
      <c r="I83" s="2">
        <v>160.30000000000001</v>
      </c>
      <c r="J83" s="2">
        <v>229.1</v>
      </c>
      <c r="K83" s="2">
        <v>165.1</v>
      </c>
      <c r="L83" s="2">
        <v>123.1</v>
      </c>
      <c r="M83" s="2">
        <v>167.2</v>
      </c>
      <c r="N83" s="2">
        <v>156.1</v>
      </c>
      <c r="O83" s="2">
        <v>176.8</v>
      </c>
      <c r="P83" s="2">
        <v>173.5</v>
      </c>
      <c r="Q83" s="2">
        <v>197</v>
      </c>
      <c r="R83" s="2">
        <v>162.30000000000001</v>
      </c>
      <c r="S83" s="2">
        <v>145.30000000000001</v>
      </c>
      <c r="T83" s="2">
        <v>159.69999999999999</v>
      </c>
      <c r="U83" s="2">
        <v>164.2</v>
      </c>
      <c r="V83" s="2">
        <v>161.6</v>
      </c>
      <c r="W83" s="2">
        <v>155.19999999999999</v>
      </c>
      <c r="X83" s="2">
        <v>164.2</v>
      </c>
      <c r="Y83" s="2">
        <v>151.19999999999999</v>
      </c>
      <c r="Z83" s="2">
        <v>156.69999999999999</v>
      </c>
      <c r="AA83" s="2">
        <v>160.80000000000001</v>
      </c>
      <c r="AB83" s="2">
        <v>161.80000000000001</v>
      </c>
      <c r="AC83" s="51">
        <v>157.30000000000001</v>
      </c>
    </row>
    <row r="84" spans="1:29" x14ac:dyDescent="0.25">
      <c r="A84" s="52" t="s">
        <v>33</v>
      </c>
      <c r="B84" s="2">
        <v>2021</v>
      </c>
      <c r="C84" s="2" t="s">
        <v>46</v>
      </c>
      <c r="D84" s="2">
        <v>151.6</v>
      </c>
      <c r="E84" s="2">
        <v>202.2</v>
      </c>
      <c r="F84" s="2">
        <v>180</v>
      </c>
      <c r="G84" s="2">
        <v>160</v>
      </c>
      <c r="H84" s="2">
        <v>173.5</v>
      </c>
      <c r="I84" s="2">
        <v>158.30000000000001</v>
      </c>
      <c r="J84" s="2">
        <v>219.5</v>
      </c>
      <c r="K84" s="2">
        <v>164.2</v>
      </c>
      <c r="L84" s="2">
        <v>121.9</v>
      </c>
      <c r="M84" s="2">
        <v>168.2</v>
      </c>
      <c r="N84" s="2">
        <v>156.5</v>
      </c>
      <c r="O84" s="2">
        <v>178.2</v>
      </c>
      <c r="P84" s="2">
        <v>172.2</v>
      </c>
      <c r="Q84" s="2">
        <v>196.8</v>
      </c>
      <c r="R84" s="2">
        <v>163.30000000000001</v>
      </c>
      <c r="S84" s="2">
        <v>146.69999999999999</v>
      </c>
      <c r="T84" s="2">
        <v>160.69999999999999</v>
      </c>
      <c r="U84" s="2">
        <v>163.4</v>
      </c>
      <c r="V84" s="2">
        <v>161.69999999999999</v>
      </c>
      <c r="W84" s="2">
        <v>156</v>
      </c>
      <c r="X84" s="2">
        <v>165.1</v>
      </c>
      <c r="Y84" s="2">
        <v>151.80000000000001</v>
      </c>
      <c r="Z84" s="2">
        <v>157.6</v>
      </c>
      <c r="AA84" s="2">
        <v>160.6</v>
      </c>
      <c r="AB84" s="2">
        <v>162.4</v>
      </c>
      <c r="AC84" s="51">
        <v>157.80000000000001</v>
      </c>
    </row>
    <row r="85" spans="1:29" x14ac:dyDescent="0.25">
      <c r="A85" s="52" t="s">
        <v>33</v>
      </c>
      <c r="B85" s="2">
        <v>2022</v>
      </c>
      <c r="C85" s="2" t="s">
        <v>31</v>
      </c>
      <c r="D85" s="2">
        <v>152.19999999999999</v>
      </c>
      <c r="E85" s="2">
        <v>202.1</v>
      </c>
      <c r="F85" s="2">
        <v>180.1</v>
      </c>
      <c r="G85" s="2">
        <v>160.4</v>
      </c>
      <c r="H85" s="2">
        <v>171</v>
      </c>
      <c r="I85" s="2">
        <v>156.5</v>
      </c>
      <c r="J85" s="2">
        <v>203.6</v>
      </c>
      <c r="K85" s="2">
        <v>163.80000000000001</v>
      </c>
      <c r="L85" s="2">
        <v>121.3</v>
      </c>
      <c r="M85" s="2">
        <v>169.8</v>
      </c>
      <c r="N85" s="2">
        <v>156.6</v>
      </c>
      <c r="O85" s="2">
        <v>179</v>
      </c>
      <c r="P85" s="2">
        <v>170.3</v>
      </c>
      <c r="Q85" s="2">
        <v>196.4</v>
      </c>
      <c r="R85" s="2">
        <v>164.7</v>
      </c>
      <c r="S85" s="2">
        <v>148.5</v>
      </c>
      <c r="T85" s="2">
        <v>162.19999999999999</v>
      </c>
      <c r="U85" s="2">
        <v>164.5</v>
      </c>
      <c r="V85" s="2">
        <v>161.6</v>
      </c>
      <c r="W85" s="2">
        <v>156.80000000000001</v>
      </c>
      <c r="X85" s="2">
        <v>166.1</v>
      </c>
      <c r="Y85" s="2">
        <v>152.69999999999999</v>
      </c>
      <c r="Z85" s="2">
        <v>158.4</v>
      </c>
      <c r="AA85" s="2">
        <v>161</v>
      </c>
      <c r="AB85" s="2">
        <v>162.80000000000001</v>
      </c>
      <c r="AC85" s="51">
        <v>158.6</v>
      </c>
    </row>
    <row r="86" spans="1:29" x14ac:dyDescent="0.25">
      <c r="A86" s="52" t="s">
        <v>33</v>
      </c>
      <c r="B86" s="2">
        <v>2022</v>
      </c>
      <c r="C86" s="2" t="s">
        <v>35</v>
      </c>
      <c r="D86" s="2">
        <v>152.5</v>
      </c>
      <c r="E86" s="2">
        <v>205.2</v>
      </c>
      <c r="F86" s="2">
        <v>176.4</v>
      </c>
      <c r="G86" s="2">
        <v>160.6</v>
      </c>
      <c r="H86" s="2">
        <v>171.5</v>
      </c>
      <c r="I86" s="2">
        <v>156.4</v>
      </c>
      <c r="J86" s="2">
        <v>198</v>
      </c>
      <c r="K86" s="2">
        <v>163.19999999999999</v>
      </c>
      <c r="L86" s="2">
        <v>120.6</v>
      </c>
      <c r="M86" s="2">
        <v>172.2</v>
      </c>
      <c r="N86" s="2">
        <v>156.69999999999999</v>
      </c>
      <c r="O86" s="2">
        <v>180</v>
      </c>
      <c r="P86" s="2">
        <v>170.2</v>
      </c>
      <c r="Q86" s="2">
        <v>196.5</v>
      </c>
      <c r="R86" s="2">
        <v>165.7</v>
      </c>
      <c r="S86" s="2">
        <v>150.4</v>
      </c>
      <c r="T86" s="2">
        <v>163.4</v>
      </c>
      <c r="U86" s="2">
        <v>165.5</v>
      </c>
      <c r="V86" s="2">
        <v>163</v>
      </c>
      <c r="W86" s="2">
        <v>157.4</v>
      </c>
      <c r="X86" s="2">
        <v>167.2</v>
      </c>
      <c r="Y86" s="2">
        <v>153.1</v>
      </c>
      <c r="Z86" s="2">
        <v>159.5</v>
      </c>
      <c r="AA86" s="2">
        <v>162</v>
      </c>
      <c r="AB86" s="2">
        <v>164.2</v>
      </c>
      <c r="AC86" s="51">
        <v>159.4</v>
      </c>
    </row>
    <row r="87" spans="1:29" x14ac:dyDescent="0.25">
      <c r="A87" s="52" t="s">
        <v>33</v>
      </c>
      <c r="B87" s="2">
        <v>2022</v>
      </c>
      <c r="C87" s="2" t="s">
        <v>36</v>
      </c>
      <c r="D87" s="2">
        <v>153.69999999999999</v>
      </c>
      <c r="E87" s="2">
        <v>215.8</v>
      </c>
      <c r="F87" s="2">
        <v>167.7</v>
      </c>
      <c r="G87" s="2">
        <v>162.6</v>
      </c>
      <c r="H87" s="2">
        <v>180</v>
      </c>
      <c r="I87" s="2">
        <v>159.6</v>
      </c>
      <c r="J87" s="2">
        <v>188.4</v>
      </c>
      <c r="K87" s="2">
        <v>163.4</v>
      </c>
      <c r="L87" s="2">
        <v>120.3</v>
      </c>
      <c r="M87" s="2">
        <v>174.7</v>
      </c>
      <c r="N87" s="2">
        <v>157.1</v>
      </c>
      <c r="O87" s="2">
        <v>181.5</v>
      </c>
      <c r="P87" s="2">
        <v>171.5</v>
      </c>
      <c r="Q87" s="2">
        <v>197.5</v>
      </c>
      <c r="R87" s="2">
        <v>167.1</v>
      </c>
      <c r="S87" s="2">
        <v>152.6</v>
      </c>
      <c r="T87" s="2">
        <v>164.9</v>
      </c>
      <c r="U87" s="2">
        <v>165.3</v>
      </c>
      <c r="V87" s="2">
        <v>164.5</v>
      </c>
      <c r="W87" s="2">
        <v>158.6</v>
      </c>
      <c r="X87" s="2">
        <v>168.2</v>
      </c>
      <c r="Y87" s="2">
        <v>154.19999999999999</v>
      </c>
      <c r="Z87" s="2">
        <v>160.80000000000001</v>
      </c>
      <c r="AA87" s="2">
        <v>162.69999999999999</v>
      </c>
      <c r="AB87" s="2">
        <v>166.8</v>
      </c>
      <c r="AC87" s="51">
        <v>160.6</v>
      </c>
    </row>
    <row r="88" spans="1:29" x14ac:dyDescent="0.25">
      <c r="A88" s="52" t="s">
        <v>33</v>
      </c>
      <c r="B88" s="2">
        <v>2022</v>
      </c>
      <c r="C88" s="2" t="s">
        <v>37</v>
      </c>
      <c r="D88" s="2">
        <v>155.4</v>
      </c>
      <c r="E88" s="2">
        <v>215.8</v>
      </c>
      <c r="F88" s="2">
        <v>164.6</v>
      </c>
      <c r="G88" s="2">
        <v>164.2</v>
      </c>
      <c r="H88" s="2">
        <v>186</v>
      </c>
      <c r="I88" s="2">
        <v>175.9</v>
      </c>
      <c r="J88" s="2">
        <v>190.7</v>
      </c>
      <c r="K88" s="2">
        <v>164</v>
      </c>
      <c r="L88" s="2">
        <v>120.5</v>
      </c>
      <c r="M88" s="2">
        <v>178</v>
      </c>
      <c r="N88" s="2">
        <v>157.5</v>
      </c>
      <c r="O88" s="2">
        <v>183.3</v>
      </c>
      <c r="P88" s="2">
        <v>174.5</v>
      </c>
      <c r="Q88" s="2">
        <v>197.1</v>
      </c>
      <c r="R88" s="2">
        <v>168.4</v>
      </c>
      <c r="S88" s="2">
        <v>154.5</v>
      </c>
      <c r="T88" s="2">
        <v>166.3</v>
      </c>
      <c r="U88" s="2">
        <v>167</v>
      </c>
      <c r="V88" s="2">
        <v>170.5</v>
      </c>
      <c r="W88" s="2">
        <v>159.80000000000001</v>
      </c>
      <c r="X88" s="2">
        <v>169</v>
      </c>
      <c r="Y88" s="2">
        <v>159.30000000000001</v>
      </c>
      <c r="Z88" s="2">
        <v>162.19999999999999</v>
      </c>
      <c r="AA88" s="2">
        <v>164</v>
      </c>
      <c r="AB88" s="2">
        <v>168.4</v>
      </c>
      <c r="AC88" s="51">
        <v>163.1</v>
      </c>
    </row>
    <row r="89" spans="1:29" x14ac:dyDescent="0.25">
      <c r="A89" s="52" t="s">
        <v>33</v>
      </c>
      <c r="B89" s="2">
        <v>2022</v>
      </c>
      <c r="C89" s="2" t="s">
        <v>38</v>
      </c>
      <c r="D89" s="2">
        <v>156.69999999999999</v>
      </c>
      <c r="E89" s="2">
        <v>221.2</v>
      </c>
      <c r="F89" s="2">
        <v>164.1</v>
      </c>
      <c r="G89" s="2">
        <v>165.4</v>
      </c>
      <c r="H89" s="2">
        <v>189.5</v>
      </c>
      <c r="I89" s="2">
        <v>174.5</v>
      </c>
      <c r="J89" s="2">
        <v>203.2</v>
      </c>
      <c r="K89" s="2">
        <v>164.1</v>
      </c>
      <c r="L89" s="2">
        <v>121.2</v>
      </c>
      <c r="M89" s="2">
        <v>181.4</v>
      </c>
      <c r="N89" s="2">
        <v>158.5</v>
      </c>
      <c r="O89" s="2">
        <v>184.9</v>
      </c>
      <c r="P89" s="2">
        <v>177.5</v>
      </c>
      <c r="Q89" s="2">
        <v>197.5</v>
      </c>
      <c r="R89" s="2">
        <v>170</v>
      </c>
      <c r="S89" s="2">
        <v>155.9</v>
      </c>
      <c r="T89" s="2">
        <v>167.8</v>
      </c>
      <c r="U89" s="2">
        <v>167.5</v>
      </c>
      <c r="V89" s="2">
        <v>173.5</v>
      </c>
      <c r="W89" s="2">
        <v>161.1</v>
      </c>
      <c r="X89" s="2">
        <v>170.1</v>
      </c>
      <c r="Y89" s="2">
        <v>159.4</v>
      </c>
      <c r="Z89" s="2">
        <v>163.19999999999999</v>
      </c>
      <c r="AA89" s="2">
        <v>165.2</v>
      </c>
      <c r="AB89" s="2">
        <v>168.2</v>
      </c>
      <c r="AC89" s="51">
        <v>163.80000000000001</v>
      </c>
    </row>
    <row r="90" spans="1:29" x14ac:dyDescent="0.25">
      <c r="A90" s="52" t="s">
        <v>33</v>
      </c>
      <c r="B90" s="2">
        <v>2022</v>
      </c>
      <c r="C90" s="2" t="s">
        <v>39</v>
      </c>
      <c r="D90" s="2">
        <v>157.5</v>
      </c>
      <c r="E90" s="2">
        <v>223.4</v>
      </c>
      <c r="F90" s="2">
        <v>172.8</v>
      </c>
      <c r="G90" s="2">
        <v>166.4</v>
      </c>
      <c r="H90" s="2">
        <v>188.6</v>
      </c>
      <c r="I90" s="2">
        <v>174.1</v>
      </c>
      <c r="J90" s="2">
        <v>211.5</v>
      </c>
      <c r="K90" s="2">
        <v>163.6</v>
      </c>
      <c r="L90" s="2">
        <v>121.4</v>
      </c>
      <c r="M90" s="2">
        <v>183.5</v>
      </c>
      <c r="N90" s="2">
        <v>159.1</v>
      </c>
      <c r="O90" s="2">
        <v>186.3</v>
      </c>
      <c r="P90" s="2">
        <v>179.3</v>
      </c>
      <c r="Q90" s="2">
        <v>198.3</v>
      </c>
      <c r="R90" s="2">
        <v>171.6</v>
      </c>
      <c r="S90" s="2">
        <v>157.4</v>
      </c>
      <c r="T90" s="2">
        <v>169.4</v>
      </c>
      <c r="U90" s="2">
        <v>166.8</v>
      </c>
      <c r="V90" s="2">
        <v>174.9</v>
      </c>
      <c r="W90" s="2">
        <v>162.1</v>
      </c>
      <c r="X90" s="2">
        <v>170.9</v>
      </c>
      <c r="Y90" s="2">
        <v>157.19999999999999</v>
      </c>
      <c r="Z90" s="2">
        <v>164.1</v>
      </c>
      <c r="AA90" s="2">
        <v>166.5</v>
      </c>
      <c r="AB90" s="2">
        <v>169.2</v>
      </c>
      <c r="AC90" s="51">
        <v>163.80000000000001</v>
      </c>
    </row>
    <row r="91" spans="1:29" x14ac:dyDescent="0.25">
      <c r="A91" s="52" t="s">
        <v>33</v>
      </c>
      <c r="B91" s="2">
        <v>2022</v>
      </c>
      <c r="C91" s="2" t="s">
        <v>40</v>
      </c>
      <c r="D91" s="2">
        <v>159.30000000000001</v>
      </c>
      <c r="E91" s="2">
        <v>217.1</v>
      </c>
      <c r="F91" s="2">
        <v>176.6</v>
      </c>
      <c r="G91" s="2">
        <v>167.1</v>
      </c>
      <c r="H91" s="2">
        <v>184.8</v>
      </c>
      <c r="I91" s="2">
        <v>179.5</v>
      </c>
      <c r="J91" s="2">
        <v>208.5</v>
      </c>
      <c r="K91" s="2">
        <v>164</v>
      </c>
      <c r="L91" s="2">
        <v>121.5</v>
      </c>
      <c r="M91" s="2">
        <v>186.3</v>
      </c>
      <c r="N91" s="2">
        <v>159.80000000000001</v>
      </c>
      <c r="O91" s="2">
        <v>187.7</v>
      </c>
      <c r="P91" s="2">
        <v>179.4</v>
      </c>
      <c r="Q91" s="2">
        <v>198.6</v>
      </c>
      <c r="R91" s="2">
        <v>172.7</v>
      </c>
      <c r="S91" s="2">
        <v>158.69999999999999</v>
      </c>
      <c r="T91" s="2">
        <v>170.6</v>
      </c>
      <c r="U91" s="2">
        <v>167.8</v>
      </c>
      <c r="V91" s="2">
        <v>179.5</v>
      </c>
      <c r="W91" s="2">
        <v>163.1</v>
      </c>
      <c r="X91" s="2">
        <v>171.7</v>
      </c>
      <c r="Y91" s="2">
        <v>157.4</v>
      </c>
      <c r="Z91" s="2">
        <v>164.6</v>
      </c>
      <c r="AA91" s="2">
        <v>169.1</v>
      </c>
      <c r="AB91" s="2">
        <v>169.8</v>
      </c>
      <c r="AC91" s="51">
        <v>164.7</v>
      </c>
    </row>
    <row r="92" spans="1:29" x14ac:dyDescent="0.25">
      <c r="A92" s="52" t="s">
        <v>33</v>
      </c>
      <c r="B92" s="2">
        <v>2022</v>
      </c>
      <c r="C92" s="2" t="s">
        <v>41</v>
      </c>
      <c r="D92" s="2">
        <v>162.1</v>
      </c>
      <c r="E92" s="2">
        <v>210.9</v>
      </c>
      <c r="F92" s="2">
        <v>170.6</v>
      </c>
      <c r="G92" s="2">
        <v>168.4</v>
      </c>
      <c r="H92" s="2">
        <v>182.5</v>
      </c>
      <c r="I92" s="2">
        <v>177.1</v>
      </c>
      <c r="J92" s="2">
        <v>213.1</v>
      </c>
      <c r="K92" s="2">
        <v>167.3</v>
      </c>
      <c r="L92" s="2">
        <v>122.2</v>
      </c>
      <c r="M92" s="2">
        <v>189.7</v>
      </c>
      <c r="N92" s="2">
        <v>160.5</v>
      </c>
      <c r="O92" s="2">
        <v>188.9</v>
      </c>
      <c r="P92" s="2">
        <v>180.4</v>
      </c>
      <c r="Q92" s="2">
        <v>198.7</v>
      </c>
      <c r="R92" s="2">
        <v>173.7</v>
      </c>
      <c r="S92" s="2">
        <v>160</v>
      </c>
      <c r="T92" s="2">
        <v>171.6</v>
      </c>
      <c r="U92" s="2">
        <v>169</v>
      </c>
      <c r="V92" s="2">
        <v>178.4</v>
      </c>
      <c r="W92" s="2">
        <v>164.2</v>
      </c>
      <c r="X92" s="2">
        <v>172.6</v>
      </c>
      <c r="Y92" s="2">
        <v>157.69999999999999</v>
      </c>
      <c r="Z92" s="2">
        <v>165.1</v>
      </c>
      <c r="AA92" s="2">
        <v>169.9</v>
      </c>
      <c r="AB92" s="2">
        <v>171.4</v>
      </c>
      <c r="AC92" s="51">
        <v>165.4</v>
      </c>
    </row>
    <row r="93" spans="1:29" x14ac:dyDescent="0.25">
      <c r="A93" s="52" t="s">
        <v>33</v>
      </c>
      <c r="B93" s="2">
        <v>2022</v>
      </c>
      <c r="C93" s="2" t="s">
        <v>42</v>
      </c>
      <c r="D93" s="2">
        <v>164.9</v>
      </c>
      <c r="E93" s="2">
        <v>213.7</v>
      </c>
      <c r="F93" s="2">
        <v>170.9</v>
      </c>
      <c r="G93" s="2">
        <v>170.1</v>
      </c>
      <c r="H93" s="2">
        <v>179.3</v>
      </c>
      <c r="I93" s="2">
        <v>167.5</v>
      </c>
      <c r="J93" s="2">
        <v>220.8</v>
      </c>
      <c r="K93" s="2">
        <v>169.2</v>
      </c>
      <c r="L93" s="2">
        <v>123.1</v>
      </c>
      <c r="M93" s="2">
        <v>193.6</v>
      </c>
      <c r="N93" s="2">
        <v>161.1</v>
      </c>
      <c r="O93" s="2">
        <v>190.4</v>
      </c>
      <c r="P93" s="2">
        <v>181.8</v>
      </c>
      <c r="Q93" s="2">
        <v>199.7</v>
      </c>
      <c r="R93" s="2">
        <v>175</v>
      </c>
      <c r="S93" s="2">
        <v>161.69999999999999</v>
      </c>
      <c r="T93" s="2">
        <v>173</v>
      </c>
      <c r="U93" s="2">
        <v>169.5</v>
      </c>
      <c r="V93" s="2">
        <v>179.2</v>
      </c>
      <c r="W93" s="2">
        <v>165</v>
      </c>
      <c r="X93" s="2">
        <v>173.8</v>
      </c>
      <c r="Y93" s="2">
        <v>158.19999999999999</v>
      </c>
      <c r="Z93" s="2">
        <v>165.8</v>
      </c>
      <c r="AA93" s="2">
        <v>170.9</v>
      </c>
      <c r="AB93" s="2">
        <v>171.1</v>
      </c>
      <c r="AC93" s="51">
        <v>166.1</v>
      </c>
    </row>
    <row r="94" spans="1:29" x14ac:dyDescent="0.25">
      <c r="A94" s="52" t="s">
        <v>33</v>
      </c>
      <c r="B94" s="2">
        <v>2022</v>
      </c>
      <c r="C94" s="2" t="s">
        <v>43</v>
      </c>
      <c r="D94" s="2">
        <v>166.4</v>
      </c>
      <c r="E94" s="2">
        <v>214.9</v>
      </c>
      <c r="F94" s="2">
        <v>171.9</v>
      </c>
      <c r="G94" s="2">
        <v>171</v>
      </c>
      <c r="H94" s="2">
        <v>177.7</v>
      </c>
      <c r="I94" s="2">
        <v>165.7</v>
      </c>
      <c r="J94" s="2">
        <v>228.6</v>
      </c>
      <c r="K94" s="2">
        <v>169.9</v>
      </c>
      <c r="L94" s="2">
        <v>123.4</v>
      </c>
      <c r="M94" s="2">
        <v>196.4</v>
      </c>
      <c r="N94" s="2">
        <v>161.6</v>
      </c>
      <c r="O94" s="2">
        <v>191.5</v>
      </c>
      <c r="P94" s="2">
        <v>183.3</v>
      </c>
      <c r="Q94" s="2">
        <v>200.1</v>
      </c>
      <c r="R94" s="2">
        <v>175.5</v>
      </c>
      <c r="S94" s="2">
        <v>162.6</v>
      </c>
      <c r="T94" s="2">
        <v>173.6</v>
      </c>
      <c r="U94" s="2">
        <v>171.2</v>
      </c>
      <c r="V94" s="2">
        <v>180</v>
      </c>
      <c r="W94" s="2">
        <v>166</v>
      </c>
      <c r="X94" s="2">
        <v>174.7</v>
      </c>
      <c r="Y94" s="2">
        <v>158.80000000000001</v>
      </c>
      <c r="Z94" s="2">
        <v>166.3</v>
      </c>
      <c r="AA94" s="2">
        <v>171.2</v>
      </c>
      <c r="AB94" s="2">
        <v>172.3</v>
      </c>
      <c r="AC94" s="51">
        <v>166.8</v>
      </c>
    </row>
    <row r="95" spans="1:29" x14ac:dyDescent="0.25">
      <c r="A95" s="52" t="s">
        <v>33</v>
      </c>
      <c r="B95" s="2">
        <v>2022</v>
      </c>
      <c r="C95" s="2" t="s">
        <v>45</v>
      </c>
      <c r="D95" s="2">
        <v>168.4</v>
      </c>
      <c r="E95" s="2">
        <v>213.4</v>
      </c>
      <c r="F95" s="2">
        <v>183.2</v>
      </c>
      <c r="G95" s="2">
        <v>172.3</v>
      </c>
      <c r="H95" s="2">
        <v>180</v>
      </c>
      <c r="I95" s="2">
        <v>162.6</v>
      </c>
      <c r="J95" s="2">
        <v>205.5</v>
      </c>
      <c r="K95" s="2">
        <v>171</v>
      </c>
      <c r="L95" s="2">
        <v>123.4</v>
      </c>
      <c r="M95" s="2">
        <v>198.8</v>
      </c>
      <c r="N95" s="2">
        <v>162.1</v>
      </c>
      <c r="O95" s="2">
        <v>192.4</v>
      </c>
      <c r="P95" s="2">
        <v>181.3</v>
      </c>
      <c r="Q95" s="2">
        <v>200.6</v>
      </c>
      <c r="R95" s="2">
        <v>176.7</v>
      </c>
      <c r="S95" s="2">
        <v>163.5</v>
      </c>
      <c r="T95" s="2">
        <v>174.7</v>
      </c>
      <c r="U95" s="2">
        <v>171.8</v>
      </c>
      <c r="V95" s="2">
        <v>180.3</v>
      </c>
      <c r="W95" s="2">
        <v>166.9</v>
      </c>
      <c r="X95" s="2">
        <v>175.8</v>
      </c>
      <c r="Y95" s="2">
        <v>158.9</v>
      </c>
      <c r="Z95" s="2">
        <v>166.7</v>
      </c>
      <c r="AA95" s="2">
        <v>171.5</v>
      </c>
      <c r="AB95" s="2">
        <v>173.8</v>
      </c>
      <c r="AC95" s="51">
        <v>167.4</v>
      </c>
    </row>
    <row r="96" spans="1:29" x14ac:dyDescent="0.25">
      <c r="A96" s="52" t="s">
        <v>33</v>
      </c>
      <c r="B96" s="2">
        <v>2022</v>
      </c>
      <c r="C96" s="2" t="s">
        <v>46</v>
      </c>
      <c r="D96" s="2">
        <v>170.2</v>
      </c>
      <c r="E96" s="2">
        <v>212.9</v>
      </c>
      <c r="F96" s="2">
        <v>191.9</v>
      </c>
      <c r="G96" s="2">
        <v>173.9</v>
      </c>
      <c r="H96" s="2">
        <v>179.1</v>
      </c>
      <c r="I96" s="2">
        <v>159.5</v>
      </c>
      <c r="J96" s="2">
        <v>178.7</v>
      </c>
      <c r="K96" s="2">
        <v>171.3</v>
      </c>
      <c r="L96" s="2">
        <v>123.1</v>
      </c>
      <c r="M96" s="2">
        <v>200.5</v>
      </c>
      <c r="N96" s="2">
        <v>162.80000000000001</v>
      </c>
      <c r="O96" s="2">
        <v>193.3</v>
      </c>
      <c r="P96" s="2">
        <v>178.6</v>
      </c>
      <c r="Q96" s="2">
        <v>201.1</v>
      </c>
      <c r="R96" s="2">
        <v>177.7</v>
      </c>
      <c r="S96" s="2">
        <v>164.5</v>
      </c>
      <c r="T96" s="2">
        <v>175.7</v>
      </c>
      <c r="U96" s="2">
        <v>170.7</v>
      </c>
      <c r="V96" s="2">
        <v>180.6</v>
      </c>
      <c r="W96" s="2">
        <v>167.3</v>
      </c>
      <c r="X96" s="2">
        <v>177.2</v>
      </c>
      <c r="Y96" s="2">
        <v>159.4</v>
      </c>
      <c r="Z96" s="2">
        <v>167.1</v>
      </c>
      <c r="AA96" s="2">
        <v>171.8</v>
      </c>
      <c r="AB96" s="2">
        <v>176</v>
      </c>
      <c r="AC96" s="51">
        <v>168.2</v>
      </c>
    </row>
    <row r="97" spans="1:30" x14ac:dyDescent="0.25">
      <c r="A97" s="52" t="s">
        <v>33</v>
      </c>
      <c r="B97" s="2">
        <v>2023</v>
      </c>
      <c r="C97" s="2" t="s">
        <v>31</v>
      </c>
      <c r="D97" s="2">
        <v>173.3</v>
      </c>
      <c r="E97" s="2">
        <v>215.2</v>
      </c>
      <c r="F97" s="2">
        <v>197</v>
      </c>
      <c r="G97" s="2">
        <v>175.2</v>
      </c>
      <c r="H97" s="2">
        <v>178</v>
      </c>
      <c r="I97" s="2">
        <v>160.5</v>
      </c>
      <c r="J97" s="2">
        <v>175.3</v>
      </c>
      <c r="K97" s="2">
        <v>171.2</v>
      </c>
      <c r="L97" s="2">
        <v>122.7</v>
      </c>
      <c r="M97" s="2">
        <v>204.3</v>
      </c>
      <c r="N97" s="2">
        <v>163.69999999999999</v>
      </c>
      <c r="O97" s="2">
        <v>194.3</v>
      </c>
      <c r="P97" s="2">
        <v>179.5</v>
      </c>
      <c r="Q97" s="2">
        <v>201.6</v>
      </c>
      <c r="R97" s="2">
        <v>178.7</v>
      </c>
      <c r="S97" s="2">
        <v>165.3</v>
      </c>
      <c r="T97" s="2">
        <v>176.6</v>
      </c>
      <c r="U97" s="2">
        <v>172.1</v>
      </c>
      <c r="V97" s="2">
        <v>180.1</v>
      </c>
      <c r="W97" s="2">
        <v>168</v>
      </c>
      <c r="X97" s="2">
        <v>178.5</v>
      </c>
      <c r="Y97" s="2">
        <v>159.5</v>
      </c>
      <c r="Z97" s="2">
        <v>167.8</v>
      </c>
      <c r="AA97" s="2">
        <v>171.8</v>
      </c>
      <c r="AB97" s="2">
        <v>178.8</v>
      </c>
      <c r="AC97" s="51">
        <v>168.9</v>
      </c>
    </row>
    <row r="98" spans="1:30" x14ac:dyDescent="0.25">
      <c r="A98" s="52" t="s">
        <v>33</v>
      </c>
      <c r="B98" s="2">
        <v>2023</v>
      </c>
      <c r="C98" s="2" t="s">
        <v>35</v>
      </c>
      <c r="D98" s="2">
        <v>174.7</v>
      </c>
      <c r="E98" s="2">
        <v>212.2</v>
      </c>
      <c r="F98" s="2">
        <v>177.2</v>
      </c>
      <c r="G98" s="2">
        <v>177.9</v>
      </c>
      <c r="H98" s="2">
        <v>172.2</v>
      </c>
      <c r="I98" s="2">
        <v>172.1</v>
      </c>
      <c r="J98" s="2">
        <v>175.8</v>
      </c>
      <c r="K98" s="2">
        <v>172.2</v>
      </c>
      <c r="L98" s="2">
        <v>121.9</v>
      </c>
      <c r="M98" s="2">
        <v>204.8</v>
      </c>
      <c r="N98" s="2">
        <v>164.9</v>
      </c>
      <c r="O98" s="2">
        <v>196.6</v>
      </c>
      <c r="P98" s="2">
        <v>180.7</v>
      </c>
      <c r="Q98" s="2">
        <v>202.7</v>
      </c>
      <c r="R98" s="2">
        <v>180.3</v>
      </c>
      <c r="S98" s="2">
        <v>167</v>
      </c>
      <c r="T98" s="2">
        <v>178.2</v>
      </c>
      <c r="U98" s="2">
        <v>173.5</v>
      </c>
      <c r="V98" s="2">
        <v>182.8</v>
      </c>
      <c r="W98" s="2">
        <v>169.2</v>
      </c>
      <c r="X98" s="2">
        <v>180.8</v>
      </c>
      <c r="Y98" s="2">
        <v>159.80000000000001</v>
      </c>
      <c r="Z98" s="2">
        <v>168.4</v>
      </c>
      <c r="AA98" s="2">
        <v>172.5</v>
      </c>
      <c r="AB98" s="2">
        <v>181.4</v>
      </c>
      <c r="AC98" s="51">
        <v>170</v>
      </c>
    </row>
    <row r="99" spans="1:30" x14ac:dyDescent="0.25">
      <c r="A99" s="52" t="s">
        <v>33</v>
      </c>
      <c r="B99" s="2">
        <v>2023</v>
      </c>
      <c r="C99" s="2" t="s">
        <v>36</v>
      </c>
      <c r="D99" s="2">
        <v>174.7</v>
      </c>
      <c r="E99" s="2">
        <v>212.2</v>
      </c>
      <c r="F99" s="2">
        <v>177.2</v>
      </c>
      <c r="G99" s="2">
        <v>177.9</v>
      </c>
      <c r="H99" s="2">
        <v>172.2</v>
      </c>
      <c r="I99" s="2">
        <v>172.1</v>
      </c>
      <c r="J99" s="2">
        <v>175.9</v>
      </c>
      <c r="K99" s="2">
        <v>172.2</v>
      </c>
      <c r="L99" s="2">
        <v>121.9</v>
      </c>
      <c r="M99" s="2">
        <v>204.8</v>
      </c>
      <c r="N99" s="2">
        <v>164.9</v>
      </c>
      <c r="O99" s="2">
        <v>196.6</v>
      </c>
      <c r="P99" s="2">
        <v>180.8</v>
      </c>
      <c r="Q99" s="2">
        <v>202.7</v>
      </c>
      <c r="R99" s="2">
        <v>180.2</v>
      </c>
      <c r="S99" s="2">
        <v>167</v>
      </c>
      <c r="T99" s="2">
        <v>178.2</v>
      </c>
      <c r="U99" s="2">
        <v>173.5</v>
      </c>
      <c r="V99" s="2">
        <v>182.6</v>
      </c>
      <c r="W99" s="2">
        <v>169.2</v>
      </c>
      <c r="X99" s="2">
        <v>180.8</v>
      </c>
      <c r="Y99" s="2">
        <v>159.80000000000001</v>
      </c>
      <c r="Z99" s="2">
        <v>168.4</v>
      </c>
      <c r="AA99" s="2">
        <v>172.5</v>
      </c>
      <c r="AB99" s="2">
        <v>181.5</v>
      </c>
      <c r="AC99" s="51">
        <v>170</v>
      </c>
    </row>
    <row r="100" spans="1:30" x14ac:dyDescent="0.25">
      <c r="A100" s="52" t="s">
        <v>33</v>
      </c>
      <c r="B100" s="2">
        <v>2023</v>
      </c>
      <c r="C100" s="2" t="s">
        <v>37</v>
      </c>
      <c r="D100" s="2">
        <v>174.8</v>
      </c>
      <c r="E100" s="2">
        <v>213.7</v>
      </c>
      <c r="F100" s="2">
        <v>172.4</v>
      </c>
      <c r="G100" s="2">
        <v>178.8</v>
      </c>
      <c r="H100" s="2">
        <v>168.7</v>
      </c>
      <c r="I100" s="2">
        <v>179.2</v>
      </c>
      <c r="J100" s="2">
        <v>179.9</v>
      </c>
      <c r="K100" s="2">
        <v>174.7</v>
      </c>
      <c r="L100" s="2">
        <v>123.1</v>
      </c>
      <c r="M100" s="2">
        <v>207.8</v>
      </c>
      <c r="N100" s="2">
        <v>165.5</v>
      </c>
      <c r="O100" s="2">
        <v>197</v>
      </c>
      <c r="P100" s="2">
        <v>182.1</v>
      </c>
      <c r="Q100" s="2">
        <v>203.5</v>
      </c>
      <c r="R100" s="2">
        <v>181</v>
      </c>
      <c r="S100" s="2">
        <v>167.7</v>
      </c>
      <c r="T100" s="2">
        <v>178.9</v>
      </c>
      <c r="U100" s="2">
        <v>175.2</v>
      </c>
      <c r="V100" s="2">
        <v>182.1</v>
      </c>
      <c r="W100" s="2">
        <v>169.6</v>
      </c>
      <c r="X100" s="2">
        <v>181.5</v>
      </c>
      <c r="Y100" s="2">
        <v>160.1</v>
      </c>
      <c r="Z100" s="2">
        <v>168.8</v>
      </c>
      <c r="AA100" s="2">
        <v>174.2</v>
      </c>
      <c r="AB100" s="2">
        <v>184.4</v>
      </c>
      <c r="AC100" s="51">
        <v>170.9</v>
      </c>
    </row>
    <row r="101" spans="1:30" x14ac:dyDescent="0.25">
      <c r="A101" s="53" t="s">
        <v>33</v>
      </c>
      <c r="B101" s="54">
        <v>2023</v>
      </c>
      <c r="C101" s="54" t="s">
        <v>38</v>
      </c>
      <c r="D101" s="54">
        <v>174.7</v>
      </c>
      <c r="E101" s="54">
        <v>219.4</v>
      </c>
      <c r="F101" s="54">
        <v>176.7</v>
      </c>
      <c r="G101" s="54">
        <v>179.4</v>
      </c>
      <c r="H101" s="54">
        <v>164.4</v>
      </c>
      <c r="I101" s="54">
        <v>175.8</v>
      </c>
      <c r="J101" s="54">
        <v>185</v>
      </c>
      <c r="K101" s="54">
        <v>176.9</v>
      </c>
      <c r="L101" s="54">
        <v>124.2</v>
      </c>
      <c r="M101" s="54">
        <v>211.9</v>
      </c>
      <c r="N101" s="54">
        <v>165.9</v>
      </c>
      <c r="O101" s="54">
        <v>197.7</v>
      </c>
      <c r="P101" s="54">
        <v>183.1</v>
      </c>
      <c r="Q101" s="54">
        <v>204.2</v>
      </c>
      <c r="R101" s="54">
        <v>181.3</v>
      </c>
      <c r="S101" s="54">
        <v>168.1</v>
      </c>
      <c r="T101" s="54">
        <v>179.3</v>
      </c>
      <c r="U101" s="54">
        <v>175.6</v>
      </c>
      <c r="V101" s="54">
        <v>183.4</v>
      </c>
      <c r="W101" s="54">
        <v>170.1</v>
      </c>
      <c r="X101" s="54">
        <v>182.2</v>
      </c>
      <c r="Y101" s="54">
        <v>160.4</v>
      </c>
      <c r="Z101" s="54">
        <v>169.2</v>
      </c>
      <c r="AA101" s="54">
        <v>174.8</v>
      </c>
      <c r="AB101" s="54">
        <v>185.6</v>
      </c>
      <c r="AC101" s="55">
        <v>171.6</v>
      </c>
    </row>
    <row r="103" spans="1:30" x14ac:dyDescent="0.25">
      <c r="A103" s="134" t="s">
        <v>107</v>
      </c>
      <c r="B103" s="135"/>
      <c r="C103" s="135"/>
      <c r="D103" s="136"/>
    </row>
    <row r="104" spans="1:30" x14ac:dyDescent="0.25">
      <c r="A104" s="137"/>
      <c r="B104" s="138"/>
      <c r="C104" s="138"/>
      <c r="D104" s="139"/>
    </row>
    <row r="105" spans="1:30" ht="19.5" x14ac:dyDescent="0.4">
      <c r="A105" s="4" t="s">
        <v>0</v>
      </c>
      <c r="B105" s="5" t="s">
        <v>1</v>
      </c>
      <c r="C105" s="5" t="s">
        <v>2</v>
      </c>
      <c r="D105" s="5" t="s">
        <v>3</v>
      </c>
      <c r="E105" s="5" t="s">
        <v>4</v>
      </c>
      <c r="F105" s="5" t="s">
        <v>5</v>
      </c>
      <c r="G105" s="5" t="s">
        <v>6</v>
      </c>
      <c r="H105" s="5" t="s">
        <v>7</v>
      </c>
      <c r="I105" s="5" t="s">
        <v>8</v>
      </c>
      <c r="J105" s="5" t="s">
        <v>9</v>
      </c>
      <c r="K105" s="5" t="s">
        <v>10</v>
      </c>
      <c r="L105" s="5" t="s">
        <v>11</v>
      </c>
      <c r="M105" s="5" t="s">
        <v>12</v>
      </c>
      <c r="N105" s="5" t="s">
        <v>13</v>
      </c>
      <c r="O105" s="5" t="s">
        <v>14</v>
      </c>
      <c r="P105" s="5" t="s">
        <v>15</v>
      </c>
      <c r="Q105" s="5" t="s">
        <v>16</v>
      </c>
      <c r="R105" s="5" t="s">
        <v>17</v>
      </c>
      <c r="S105" s="5" t="s">
        <v>18</v>
      </c>
      <c r="T105" s="5" t="s">
        <v>19</v>
      </c>
      <c r="U105" s="5" t="s">
        <v>20</v>
      </c>
      <c r="V105" s="5" t="s">
        <v>21</v>
      </c>
      <c r="W105" s="5" t="s">
        <v>22</v>
      </c>
      <c r="X105" s="5" t="s">
        <v>23</v>
      </c>
      <c r="Y105" s="5" t="s">
        <v>24</v>
      </c>
      <c r="Z105" s="5" t="s">
        <v>25</v>
      </c>
      <c r="AA105" s="5" t="s">
        <v>26</v>
      </c>
      <c r="AB105" s="5" t="s">
        <v>27</v>
      </c>
      <c r="AC105" s="6" t="s">
        <v>28</v>
      </c>
    </row>
    <row r="106" spans="1:30" x14ac:dyDescent="0.25">
      <c r="A106" s="52" t="s">
        <v>30</v>
      </c>
      <c r="B106" s="2">
        <v>2021</v>
      </c>
      <c r="C106" s="2" t="s">
        <v>31</v>
      </c>
      <c r="D106" s="62">
        <f>IFERROR((D13-D12)/D12,0)</f>
        <v>-8.2987551867219136E-3</v>
      </c>
      <c r="E106" s="62">
        <f t="shared" ref="E106:AC116" si="0">IFERROR((E13-E12)/E12,0)</f>
        <v>-5.3050397877984082E-3</v>
      </c>
      <c r="F106" s="62">
        <f t="shared" si="0"/>
        <v>0</v>
      </c>
      <c r="G106" s="62">
        <f t="shared" si="0"/>
        <v>0</v>
      </c>
      <c r="H106" s="62">
        <f t="shared" si="0"/>
        <v>3.2000000000000077E-2</v>
      </c>
      <c r="I106" s="62">
        <f t="shared" si="0"/>
        <v>7.5394105551747376E-3</v>
      </c>
      <c r="J106" s="62">
        <f t="shared" si="0"/>
        <v>-0.16607460035523969</v>
      </c>
      <c r="K106" s="62">
        <f t="shared" si="0"/>
        <v>0</v>
      </c>
      <c r="L106" s="62">
        <f t="shared" si="0"/>
        <v>-5.2447552447553187E-3</v>
      </c>
      <c r="M106" s="62">
        <f t="shared" si="0"/>
        <v>6.1162079510703364E-3</v>
      </c>
      <c r="N106" s="62">
        <f t="shared" si="0"/>
        <v>1.7601043024771765E-2</v>
      </c>
      <c r="O106" s="62">
        <f t="shared" si="0"/>
        <v>4.2787286063570729E-3</v>
      </c>
      <c r="P106" s="62">
        <f t="shared" si="0"/>
        <v>-2.9787234042553228E-2</v>
      </c>
      <c r="Q106" s="62">
        <f t="shared" si="0"/>
        <v>5.4466230936819175E-3</v>
      </c>
      <c r="R106" s="62">
        <f t="shared" si="0"/>
        <v>3.1847133757961785E-3</v>
      </c>
      <c r="S106" s="62">
        <f t="shared" si="0"/>
        <v>5.2770448548813418E-3</v>
      </c>
      <c r="T106" s="62">
        <f t="shared" si="0"/>
        <v>3.1989763275751758E-3</v>
      </c>
      <c r="U106" s="62">
        <f t="shared" si="0"/>
        <v>0</v>
      </c>
      <c r="V106" s="62">
        <f t="shared" si="0"/>
        <v>1.4794889038332329E-2</v>
      </c>
      <c r="W106" s="62">
        <f t="shared" si="0"/>
        <v>3.2594524119947846E-3</v>
      </c>
      <c r="X106" s="62">
        <f t="shared" si="0"/>
        <v>5.5693069306931046E-3</v>
      </c>
      <c r="Y106" s="62">
        <f t="shared" si="0"/>
        <v>7.513661202185753E-3</v>
      </c>
      <c r="Z106" s="62">
        <f t="shared" si="0"/>
        <v>7.7972709551656178E-3</v>
      </c>
      <c r="AA106" s="62">
        <f t="shared" si="0"/>
        <v>3.6832412523019908E-3</v>
      </c>
      <c r="AB106" s="62">
        <f t="shared" si="0"/>
        <v>-2.5542784163474185E-3</v>
      </c>
      <c r="AC106" s="63">
        <f t="shared" si="0"/>
        <v>4.5103092783506261E-3</v>
      </c>
      <c r="AD106" s="39"/>
    </row>
    <row r="107" spans="1:30" x14ac:dyDescent="0.25">
      <c r="A107" s="52" t="s">
        <v>30</v>
      </c>
      <c r="B107" s="2">
        <v>2021</v>
      </c>
      <c r="C107" s="2" t="s">
        <v>35</v>
      </c>
      <c r="D107" s="62">
        <f t="shared" ref="D107:S134" si="1">IFERROR((D14-D13)/D13,0)</f>
        <v>-4.1841004184100025E-3</v>
      </c>
      <c r="E107" s="62">
        <f t="shared" si="1"/>
        <v>-1.8666666666666668E-2</v>
      </c>
      <c r="F107" s="62">
        <f t="shared" si="1"/>
        <v>-3.114186851211076E-2</v>
      </c>
      <c r="G107" s="62">
        <f t="shared" si="1"/>
        <v>2.5974025974026343E-3</v>
      </c>
      <c r="H107" s="62">
        <f t="shared" si="1"/>
        <v>5.2971576227390106E-2</v>
      </c>
      <c r="I107" s="62">
        <f t="shared" si="1"/>
        <v>5.442176870748377E-3</v>
      </c>
      <c r="J107" s="62">
        <f t="shared" si="1"/>
        <v>-0.20287539936102247</v>
      </c>
      <c r="K107" s="62">
        <f t="shared" si="1"/>
        <v>-7.5235109717867628E-3</v>
      </c>
      <c r="L107" s="62">
        <f t="shared" si="1"/>
        <v>-1.7574692442882251E-2</v>
      </c>
      <c r="M107" s="62">
        <f t="shared" si="1"/>
        <v>3.0395136778115501E-3</v>
      </c>
      <c r="N107" s="62">
        <f t="shared" si="1"/>
        <v>2.4983984625240267E-2</v>
      </c>
      <c r="O107" s="62">
        <f t="shared" si="1"/>
        <v>9.1296409007912346E-3</v>
      </c>
      <c r="P107" s="62">
        <f t="shared" si="1"/>
        <v>-3.0701754385964949E-2</v>
      </c>
      <c r="Q107" s="62">
        <f t="shared" si="1"/>
        <v>1.029252437703145E-2</v>
      </c>
      <c r="R107" s="62">
        <f t="shared" si="1"/>
        <v>1.0158730158730122E-2</v>
      </c>
      <c r="S107" s="62">
        <f t="shared" si="1"/>
        <v>9.8425196850393699E-3</v>
      </c>
      <c r="T107" s="62">
        <f t="shared" si="0"/>
        <v>1.0204081632653024E-2</v>
      </c>
      <c r="U107" s="62">
        <f t="shared" si="0"/>
        <v>0</v>
      </c>
      <c r="V107" s="62">
        <f t="shared" si="0"/>
        <v>2.3194168323392973E-2</v>
      </c>
      <c r="W107" s="62">
        <f t="shared" si="0"/>
        <v>5.847953216374306E-3</v>
      </c>
      <c r="X107" s="62">
        <f t="shared" si="0"/>
        <v>1.1076923076923147E-2</v>
      </c>
      <c r="Y107" s="62">
        <f t="shared" si="0"/>
        <v>1.8305084745762635E-2</v>
      </c>
      <c r="Z107" s="62">
        <f t="shared" si="0"/>
        <v>1.2250161186331435E-2</v>
      </c>
      <c r="AA107" s="62">
        <f t="shared" si="0"/>
        <v>6.1162079510699891E-4</v>
      </c>
      <c r="AB107" s="62">
        <f t="shared" si="0"/>
        <v>-6.4020486555697829E-3</v>
      </c>
      <c r="AC107" s="63">
        <f t="shared" si="0"/>
        <v>8.3386786401538349E-3</v>
      </c>
      <c r="AD107" s="39"/>
    </row>
    <row r="108" spans="1:30" x14ac:dyDescent="0.25">
      <c r="A108" s="52" t="s">
        <v>30</v>
      </c>
      <c r="B108" s="2">
        <v>2021</v>
      </c>
      <c r="C108" s="2" t="s">
        <v>36</v>
      </c>
      <c r="D108" s="62">
        <f t="shared" si="1"/>
        <v>-2.1008403361345331E-3</v>
      </c>
      <c r="E108" s="62">
        <f t="shared" si="0"/>
        <v>2.9347826086956554E-2</v>
      </c>
      <c r="F108" s="62">
        <f t="shared" si="0"/>
        <v>-2.857142857142864E-2</v>
      </c>
      <c r="G108" s="62">
        <f t="shared" si="0"/>
        <v>6.4766839378234658E-4</v>
      </c>
      <c r="H108" s="62">
        <f t="shared" si="0"/>
        <v>3.1901840490797473E-2</v>
      </c>
      <c r="I108" s="62">
        <f t="shared" si="0"/>
        <v>1.8267929634641328E-2</v>
      </c>
      <c r="J108" s="62">
        <f t="shared" si="0"/>
        <v>-5.8116232464929786E-2</v>
      </c>
      <c r="K108" s="62">
        <f t="shared" si="0"/>
        <v>5.6854074542007403E-3</v>
      </c>
      <c r="L108" s="62">
        <f t="shared" si="0"/>
        <v>-8.94454382826425E-4</v>
      </c>
      <c r="M108" s="62">
        <f t="shared" si="0"/>
        <v>-6.0606060606060606E-3</v>
      </c>
      <c r="N108" s="62">
        <f t="shared" si="0"/>
        <v>3.7499999999999643E-3</v>
      </c>
      <c r="O108" s="62">
        <f t="shared" si="0"/>
        <v>3.6188178528347059E-3</v>
      </c>
      <c r="P108" s="62">
        <f t="shared" si="0"/>
        <v>-1.2928248222365136E-3</v>
      </c>
      <c r="Q108" s="62">
        <f t="shared" si="0"/>
        <v>-2.1447721179624971E-3</v>
      </c>
      <c r="R108" s="62">
        <f t="shared" si="0"/>
        <v>3.1426775612822125E-3</v>
      </c>
      <c r="S108" s="62">
        <f t="shared" si="0"/>
        <v>3.2488628979857048E-3</v>
      </c>
      <c r="T108" s="62">
        <f t="shared" si="0"/>
        <v>3.1565656565656565E-3</v>
      </c>
      <c r="U108" s="62">
        <f t="shared" si="0"/>
        <v>0</v>
      </c>
      <c r="V108" s="62">
        <f t="shared" si="0"/>
        <v>1.0362694300518097E-2</v>
      </c>
      <c r="W108" s="62">
        <f t="shared" si="0"/>
        <v>0</v>
      </c>
      <c r="X108" s="62">
        <f t="shared" si="0"/>
        <v>1.8259281801581433E-3</v>
      </c>
      <c r="Y108" s="62">
        <f t="shared" si="0"/>
        <v>7.3235685752331744E-3</v>
      </c>
      <c r="Z108" s="62">
        <f t="shared" si="0"/>
        <v>5.0955414012739579E-3</v>
      </c>
      <c r="AA108" s="62">
        <f t="shared" si="0"/>
        <v>1.2224938875306666E-3</v>
      </c>
      <c r="AB108" s="62">
        <f t="shared" si="0"/>
        <v>-1.353092783505151E-2</v>
      </c>
      <c r="AC108" s="63">
        <f t="shared" si="0"/>
        <v>6.3613231552177318E-4</v>
      </c>
      <c r="AD108" s="39"/>
    </row>
    <row r="109" spans="1:30" x14ac:dyDescent="0.25">
      <c r="A109" s="52" t="s">
        <v>30</v>
      </c>
      <c r="B109" s="2">
        <v>2021</v>
      </c>
      <c r="C109" s="2" t="s">
        <v>37</v>
      </c>
      <c r="D109" s="62">
        <f t="shared" si="1"/>
        <v>1.4035087719297449E-3</v>
      </c>
      <c r="E109" s="62">
        <f t="shared" si="0"/>
        <v>3.2206969376979908E-2</v>
      </c>
      <c r="F109" s="62">
        <f t="shared" si="0"/>
        <v>1.2254901960785359E-3</v>
      </c>
      <c r="G109" s="62">
        <f t="shared" si="0"/>
        <v>3.2362459546925568E-3</v>
      </c>
      <c r="H109" s="62">
        <f t="shared" si="0"/>
        <v>4.1617122473246136E-2</v>
      </c>
      <c r="I109" s="62">
        <f t="shared" si="0"/>
        <v>6.7109634551494976E-2</v>
      </c>
      <c r="J109" s="62">
        <f t="shared" si="0"/>
        <v>-4.1843971631205713E-2</v>
      </c>
      <c r="K109" s="62">
        <f t="shared" si="0"/>
        <v>1.1934673366834207E-2</v>
      </c>
      <c r="L109" s="62">
        <f t="shared" si="0"/>
        <v>4.4762757385854966E-3</v>
      </c>
      <c r="M109" s="62">
        <f t="shared" si="0"/>
        <v>2.4390243902439371E-3</v>
      </c>
      <c r="N109" s="62">
        <f t="shared" si="0"/>
        <v>8.0946450809465213E-3</v>
      </c>
      <c r="O109" s="62">
        <f t="shared" si="0"/>
        <v>2.4038461538461878E-3</v>
      </c>
      <c r="P109" s="62">
        <f t="shared" si="0"/>
        <v>7.1197411003235877E-3</v>
      </c>
      <c r="Q109" s="62">
        <f t="shared" si="0"/>
        <v>3.7614185921548472E-3</v>
      </c>
      <c r="R109" s="62">
        <f t="shared" si="0"/>
        <v>6.8922305764410677E-3</v>
      </c>
      <c r="S109" s="62">
        <f t="shared" si="0"/>
        <v>4.5336787564766098E-3</v>
      </c>
      <c r="T109" s="62">
        <f t="shared" si="0"/>
        <v>6.2932662051604776E-3</v>
      </c>
      <c r="U109" s="62">
        <f t="shared" si="0"/>
        <v>0</v>
      </c>
      <c r="V109" s="62">
        <f t="shared" si="0"/>
        <v>0</v>
      </c>
      <c r="W109" s="62">
        <f t="shared" si="0"/>
        <v>4.5219638242893316E-3</v>
      </c>
      <c r="X109" s="62">
        <f t="shared" si="0"/>
        <v>4.2527339003646239E-3</v>
      </c>
      <c r="Y109" s="62">
        <f t="shared" si="0"/>
        <v>2.6437541308656789E-3</v>
      </c>
      <c r="Z109" s="62">
        <f t="shared" si="0"/>
        <v>5.069708491761615E-3</v>
      </c>
      <c r="AA109" s="62">
        <f t="shared" si="0"/>
        <v>1.8315018315017272E-3</v>
      </c>
      <c r="AB109" s="62">
        <f t="shared" si="0"/>
        <v>9.7975179621162638E-3</v>
      </c>
      <c r="AC109" s="63">
        <f t="shared" si="0"/>
        <v>4.4500953591861958E-3</v>
      </c>
      <c r="AD109" s="39"/>
    </row>
    <row r="110" spans="1:30" x14ac:dyDescent="0.25">
      <c r="A110" s="52" t="s">
        <v>30</v>
      </c>
      <c r="B110" s="2">
        <v>2021</v>
      </c>
      <c r="C110" s="2" t="s">
        <v>38</v>
      </c>
      <c r="D110" s="62">
        <f t="shared" si="1"/>
        <v>1.6818500350385464E-2</v>
      </c>
      <c r="E110" s="62">
        <f t="shared" si="0"/>
        <v>1.5345268542199489E-2</v>
      </c>
      <c r="F110" s="62">
        <f t="shared" si="0"/>
        <v>3.1823745410036651E-2</v>
      </c>
      <c r="G110" s="62">
        <f t="shared" si="0"/>
        <v>5.1612903225807189E-3</v>
      </c>
      <c r="H110" s="62">
        <f t="shared" si="0"/>
        <v>5.2511415525114256E-2</v>
      </c>
      <c r="I110" s="62">
        <f t="shared" si="0"/>
        <v>1.0585305105853158E-2</v>
      </c>
      <c r="J110" s="62">
        <f t="shared" si="0"/>
        <v>2.4426350851221402E-2</v>
      </c>
      <c r="K110" s="62">
        <f t="shared" si="0"/>
        <v>2.4829298572315334E-2</v>
      </c>
      <c r="L110" s="62">
        <f t="shared" si="0"/>
        <v>1.8716577540106902E-2</v>
      </c>
      <c r="M110" s="62">
        <f t="shared" si="0"/>
        <v>3.2238442822384326E-2</v>
      </c>
      <c r="N110" s="62">
        <f t="shared" si="0"/>
        <v>1.6676961087090728E-2</v>
      </c>
      <c r="O110" s="62">
        <f t="shared" si="0"/>
        <v>1.7985611510791366E-2</v>
      </c>
      <c r="P110" s="62">
        <f t="shared" si="0"/>
        <v>1.9922879177377856E-2</v>
      </c>
      <c r="Q110" s="62">
        <f t="shared" si="0"/>
        <v>1.4989293361884277E-2</v>
      </c>
      <c r="R110" s="62">
        <f t="shared" si="0"/>
        <v>2.8624766645924227E-2</v>
      </c>
      <c r="S110" s="62">
        <f t="shared" si="0"/>
        <v>3.5460992907801421E-2</v>
      </c>
      <c r="T110" s="62">
        <f t="shared" si="0"/>
        <v>2.8767979987492146E-2</v>
      </c>
      <c r="U110" s="62">
        <f t="shared" si="0"/>
        <v>0</v>
      </c>
      <c r="V110" s="62">
        <f t="shared" si="0"/>
        <v>3.6538461538461464E-2</v>
      </c>
      <c r="W110" s="62">
        <f t="shared" si="0"/>
        <v>2.1221864951768563E-2</v>
      </c>
      <c r="X110" s="62">
        <f t="shared" si="0"/>
        <v>2.2988505747126332E-2</v>
      </c>
      <c r="Y110" s="62">
        <f t="shared" si="0"/>
        <v>9.8879367172050106E-3</v>
      </c>
      <c r="Z110" s="62">
        <f t="shared" si="0"/>
        <v>8.8272383354350923E-3</v>
      </c>
      <c r="AA110" s="62">
        <f t="shared" si="0"/>
        <v>2.132845825716027E-2</v>
      </c>
      <c r="AB110" s="62">
        <f t="shared" si="0"/>
        <v>3.0401034928848752E-2</v>
      </c>
      <c r="AC110" s="63">
        <f t="shared" si="0"/>
        <v>1.9620253164556924E-2</v>
      </c>
      <c r="AD110" s="39"/>
    </row>
    <row r="111" spans="1:30" x14ac:dyDescent="0.25">
      <c r="A111" s="52" t="s">
        <v>30</v>
      </c>
      <c r="B111" s="2">
        <v>2021</v>
      </c>
      <c r="C111" s="2" t="s">
        <v>39</v>
      </c>
      <c r="D111" s="62">
        <f t="shared" si="1"/>
        <v>3.4458993797381117E-3</v>
      </c>
      <c r="E111" s="62">
        <f t="shared" si="0"/>
        <v>8.0604534005037504E-3</v>
      </c>
      <c r="F111" s="62">
        <f t="shared" si="0"/>
        <v>6.34638196915778E-2</v>
      </c>
      <c r="G111" s="62">
        <f t="shared" si="0"/>
        <v>1.9255455712450765E-3</v>
      </c>
      <c r="H111" s="62">
        <f t="shared" si="0"/>
        <v>3.2537960954446853E-2</v>
      </c>
      <c r="I111" s="62">
        <f t="shared" si="0"/>
        <v>-2.2797288971041385E-2</v>
      </c>
      <c r="J111" s="62">
        <f t="shared" si="0"/>
        <v>4.5520231213872706E-2</v>
      </c>
      <c r="K111" s="62">
        <f t="shared" si="0"/>
        <v>2.422774076317418E-3</v>
      </c>
      <c r="L111" s="62">
        <f t="shared" si="0"/>
        <v>2.6246719160104739E-3</v>
      </c>
      <c r="M111" s="62">
        <f t="shared" si="0"/>
        <v>1.7678255745433788E-3</v>
      </c>
      <c r="N111" s="62">
        <f t="shared" si="0"/>
        <v>5.4678007290401322E-3</v>
      </c>
      <c r="O111" s="62">
        <f t="shared" si="0"/>
        <v>1.1189634864546391E-2</v>
      </c>
      <c r="P111" s="62">
        <f t="shared" si="0"/>
        <v>1.1342155009451868E-2</v>
      </c>
      <c r="Q111" s="62">
        <f t="shared" si="0"/>
        <v>-2.6371308016877636E-3</v>
      </c>
      <c r="R111" s="62">
        <f t="shared" si="0"/>
        <v>0</v>
      </c>
      <c r="S111" s="62">
        <f t="shared" si="0"/>
        <v>-4.3586550435864794E-3</v>
      </c>
      <c r="T111" s="62">
        <f t="shared" si="0"/>
        <v>6.0790273556227549E-4</v>
      </c>
      <c r="U111" s="62">
        <f t="shared" si="0"/>
        <v>0</v>
      </c>
      <c r="V111" s="62">
        <f t="shared" si="0"/>
        <v>2.4737167594310805E-3</v>
      </c>
      <c r="W111" s="62">
        <f t="shared" si="0"/>
        <v>2.5188916876572875E-3</v>
      </c>
      <c r="X111" s="62">
        <f t="shared" si="0"/>
        <v>3.548196333530422E-3</v>
      </c>
      <c r="Y111" s="62">
        <f t="shared" si="0"/>
        <v>6.5274151436031337E-3</v>
      </c>
      <c r="Z111" s="62">
        <f t="shared" si="0"/>
        <v>2.5000000000000356E-3</v>
      </c>
      <c r="AA111" s="62">
        <f t="shared" si="0"/>
        <v>-4.7732696897373689E-3</v>
      </c>
      <c r="AB111" s="62">
        <f t="shared" si="0"/>
        <v>6.2774639045821913E-4</v>
      </c>
      <c r="AC111" s="63">
        <f t="shared" si="0"/>
        <v>2.4829298572315688E-3</v>
      </c>
      <c r="AD111" s="39"/>
    </row>
    <row r="112" spans="1:30" x14ac:dyDescent="0.25">
      <c r="A112" s="52" t="s">
        <v>30</v>
      </c>
      <c r="B112" s="2">
        <v>2021</v>
      </c>
      <c r="C112" s="2" t="s">
        <v>40</v>
      </c>
      <c r="D112" s="62">
        <f t="shared" si="1"/>
        <v>-3.434065934065934E-3</v>
      </c>
      <c r="E112" s="62">
        <f t="shared" si="0"/>
        <v>2.1989005497251402E-2</v>
      </c>
      <c r="F112" s="62">
        <f t="shared" si="0"/>
        <v>6.1349693251533423E-3</v>
      </c>
      <c r="G112" s="62">
        <f t="shared" si="0"/>
        <v>6.4061499039077515E-3</v>
      </c>
      <c r="H112" s="62">
        <f t="shared" si="0"/>
        <v>-8.9285714285715183E-3</v>
      </c>
      <c r="I112" s="62">
        <f t="shared" si="0"/>
        <v>-5.6746532156368582E-3</v>
      </c>
      <c r="J112" s="62">
        <f t="shared" si="0"/>
        <v>5.5977885279889589E-2</v>
      </c>
      <c r="K112" s="62">
        <f t="shared" si="0"/>
        <v>-1.1480362537764384E-2</v>
      </c>
      <c r="L112" s="62">
        <f t="shared" si="0"/>
        <v>-6.1082024432808782E-3</v>
      </c>
      <c r="M112" s="62">
        <f t="shared" si="0"/>
        <v>-1.764705882353008E-3</v>
      </c>
      <c r="N112" s="62">
        <f t="shared" si="0"/>
        <v>4.2296072507552185E-3</v>
      </c>
      <c r="O112" s="62">
        <f t="shared" si="0"/>
        <v>-4.0768782760628348E-3</v>
      </c>
      <c r="P112" s="62">
        <f t="shared" si="0"/>
        <v>7.4766355140186208E-3</v>
      </c>
      <c r="Q112" s="62">
        <f t="shared" si="0"/>
        <v>3.1729243786356126E-3</v>
      </c>
      <c r="R112" s="62">
        <f t="shared" si="0"/>
        <v>4.2347247428916428E-3</v>
      </c>
      <c r="S112" s="62">
        <f t="shared" si="0"/>
        <v>7.5046904315196287E-3</v>
      </c>
      <c r="T112" s="62">
        <f t="shared" si="0"/>
        <v>4.2527339003646239E-3</v>
      </c>
      <c r="U112" s="62">
        <f t="shared" si="0"/>
        <v>0</v>
      </c>
      <c r="V112" s="62">
        <f t="shared" si="0"/>
        <v>2.4676125848242178E-3</v>
      </c>
      <c r="W112" s="62">
        <f t="shared" si="0"/>
        <v>6.9095477386936109E-3</v>
      </c>
      <c r="X112" s="62">
        <f t="shared" si="0"/>
        <v>4.1249263406011611E-3</v>
      </c>
      <c r="Y112" s="62">
        <f t="shared" si="0"/>
        <v>1.8806744487678377E-2</v>
      </c>
      <c r="Z112" s="62">
        <f t="shared" si="0"/>
        <v>1.8703241895260782E-3</v>
      </c>
      <c r="AA112" s="62">
        <f t="shared" si="0"/>
        <v>2.3980815347720459E-3</v>
      </c>
      <c r="AB112" s="62">
        <f t="shared" si="0"/>
        <v>6.2735257214554582E-3</v>
      </c>
      <c r="AC112" s="63">
        <f t="shared" si="0"/>
        <v>8.049535603715241E-3</v>
      </c>
      <c r="AD112" s="39"/>
    </row>
    <row r="113" spans="1:30" x14ac:dyDescent="0.25">
      <c r="A113" s="52" t="s">
        <v>30</v>
      </c>
      <c r="B113" s="2">
        <v>2021</v>
      </c>
      <c r="C113" s="2" t="s">
        <v>41</v>
      </c>
      <c r="D113" s="62">
        <f t="shared" si="1"/>
        <v>-1.3783597518951664E-3</v>
      </c>
      <c r="E113" s="62">
        <f t="shared" si="0"/>
        <v>-1.0757946210268893E-2</v>
      </c>
      <c r="F113" s="62">
        <f t="shared" si="0"/>
        <v>-2.1618625277161893E-2</v>
      </c>
      <c r="G113" s="62">
        <f t="shared" si="0"/>
        <v>2.5461489497135945E-3</v>
      </c>
      <c r="H113" s="62">
        <f t="shared" si="0"/>
        <v>1.1658717541070573E-2</v>
      </c>
      <c r="I113" s="62">
        <f t="shared" si="0"/>
        <v>-1.2682308180088777E-2</v>
      </c>
      <c r="J113" s="62">
        <f t="shared" si="0"/>
        <v>7.1989528795811143E-3</v>
      </c>
      <c r="K113" s="62">
        <f t="shared" si="0"/>
        <v>-4.8899755501221453E-3</v>
      </c>
      <c r="L113" s="62">
        <f t="shared" si="0"/>
        <v>1.1413520632133425E-2</v>
      </c>
      <c r="M113" s="62">
        <f t="shared" si="0"/>
        <v>5.8927519151457124E-4</v>
      </c>
      <c r="N113" s="62">
        <f t="shared" si="0"/>
        <v>8.4235860409145949E-3</v>
      </c>
      <c r="O113" s="62">
        <f t="shared" si="0"/>
        <v>5.2631578947368749E-3</v>
      </c>
      <c r="P113" s="62">
        <f t="shared" si="0"/>
        <v>6.1842918985790195E-4</v>
      </c>
      <c r="Q113" s="62">
        <f t="shared" si="0"/>
        <v>2.635740643120717E-3</v>
      </c>
      <c r="R113" s="62">
        <f t="shared" si="0"/>
        <v>6.024096385542169E-3</v>
      </c>
      <c r="S113" s="62">
        <f t="shared" si="0"/>
        <v>9.3109869646182501E-3</v>
      </c>
      <c r="T113" s="62">
        <f t="shared" si="0"/>
        <v>6.0496067755595878E-3</v>
      </c>
      <c r="U113" s="62">
        <f t="shared" si="0"/>
        <v>0</v>
      </c>
      <c r="V113" s="62">
        <f t="shared" si="0"/>
        <v>3.6923076923076575E-3</v>
      </c>
      <c r="W113" s="62">
        <f t="shared" si="0"/>
        <v>3.742981908920738E-3</v>
      </c>
      <c r="X113" s="62">
        <f t="shared" si="0"/>
        <v>4.1079812206572105E-3</v>
      </c>
      <c r="Y113" s="62">
        <f t="shared" si="0"/>
        <v>3.8192234245703013E-3</v>
      </c>
      <c r="Z113" s="62">
        <f t="shared" si="0"/>
        <v>2.4891101431238688E-3</v>
      </c>
      <c r="AA113" s="62">
        <f t="shared" si="0"/>
        <v>1.7942583732058098E-3</v>
      </c>
      <c r="AB113" s="62">
        <f t="shared" si="0"/>
        <v>-6.2344139650869271E-4</v>
      </c>
      <c r="AC113" s="63">
        <f t="shared" si="0"/>
        <v>3.0712530712530711E-3</v>
      </c>
      <c r="AD113" s="39"/>
    </row>
    <row r="114" spans="1:30" x14ac:dyDescent="0.25">
      <c r="A114" s="52" t="s">
        <v>30</v>
      </c>
      <c r="B114" s="2">
        <v>2021</v>
      </c>
      <c r="C114" s="2" t="s">
        <v>42</v>
      </c>
      <c r="D114" s="62">
        <f t="shared" si="1"/>
        <v>3.450655624568668E-3</v>
      </c>
      <c r="E114" s="62">
        <f t="shared" si="0"/>
        <v>-9.886307464162978E-4</v>
      </c>
      <c r="F114" s="62">
        <f t="shared" si="0"/>
        <v>-2.5495750708215296E-2</v>
      </c>
      <c r="G114" s="62">
        <f t="shared" si="0"/>
        <v>3.1746031746031746E-3</v>
      </c>
      <c r="H114" s="62">
        <f t="shared" si="0"/>
        <v>2.4096385542168645E-2</v>
      </c>
      <c r="I114" s="62">
        <f t="shared" si="0"/>
        <v>-1.926782273603083E-2</v>
      </c>
      <c r="J114" s="62">
        <f t="shared" si="0"/>
        <v>-1.6244314489928524E-2</v>
      </c>
      <c r="K114" s="62">
        <f t="shared" si="0"/>
        <v>6.7567567567567216E-3</v>
      </c>
      <c r="L114" s="62">
        <f t="shared" si="0"/>
        <v>3.5590277777777728E-2</v>
      </c>
      <c r="M114" s="62">
        <f t="shared" si="0"/>
        <v>1.7667844522967192E-3</v>
      </c>
      <c r="N114" s="62">
        <f t="shared" si="0"/>
        <v>4.1766109785203887E-3</v>
      </c>
      <c r="O114" s="62">
        <f t="shared" si="0"/>
        <v>5.235602094240871E-3</v>
      </c>
      <c r="P114" s="62">
        <f t="shared" si="0"/>
        <v>1.8541409147094124E-3</v>
      </c>
      <c r="Q114" s="62">
        <f t="shared" si="0"/>
        <v>1.5772870662461166E-3</v>
      </c>
      <c r="R114" s="62">
        <f t="shared" si="0"/>
        <v>4.1916167664669979E-3</v>
      </c>
      <c r="S114" s="62">
        <f t="shared" si="0"/>
        <v>6.1500615006150061E-3</v>
      </c>
      <c r="T114" s="62">
        <f t="shared" si="0"/>
        <v>4.8105832832229878E-3</v>
      </c>
      <c r="U114" s="62">
        <f t="shared" si="0"/>
        <v>0</v>
      </c>
      <c r="V114" s="62">
        <f t="shared" si="0"/>
        <v>3.6787247087675923E-3</v>
      </c>
      <c r="W114" s="62">
        <f t="shared" si="0"/>
        <v>2.4860161591050696E-3</v>
      </c>
      <c r="X114" s="62">
        <f t="shared" si="0"/>
        <v>4.6756282875512062E-3</v>
      </c>
      <c r="Y114" s="62">
        <f t="shared" si="0"/>
        <v>6.3411540900458301E-4</v>
      </c>
      <c r="Z114" s="62">
        <f t="shared" si="0"/>
        <v>9.9317194289260981E-3</v>
      </c>
      <c r="AA114" s="62">
        <f t="shared" si="0"/>
        <v>5.9701492537313433E-3</v>
      </c>
      <c r="AB114" s="62">
        <f t="shared" si="0"/>
        <v>-6.2383031815360407E-4</v>
      </c>
      <c r="AC114" s="63">
        <f t="shared" si="0"/>
        <v>3.0618493570116348E-3</v>
      </c>
      <c r="AD114" s="39"/>
    </row>
    <row r="115" spans="1:30" x14ac:dyDescent="0.25">
      <c r="A115" s="52" t="s">
        <v>30</v>
      </c>
      <c r="B115" s="2">
        <v>2021</v>
      </c>
      <c r="C115" s="2" t="s">
        <v>43</v>
      </c>
      <c r="D115" s="62">
        <f t="shared" si="1"/>
        <v>4.8143053645116132E-3</v>
      </c>
      <c r="E115" s="62">
        <f t="shared" si="0"/>
        <v>1.9792182088075494E-3</v>
      </c>
      <c r="F115" s="62">
        <f t="shared" si="0"/>
        <v>-1.104651162790701E-2</v>
      </c>
      <c r="G115" s="62">
        <f t="shared" si="0"/>
        <v>2.5316455696202892E-3</v>
      </c>
      <c r="H115" s="62">
        <f t="shared" si="0"/>
        <v>1.6879795396419494E-2</v>
      </c>
      <c r="I115" s="62">
        <f t="shared" si="0"/>
        <v>-6.5487884741319139E-4</v>
      </c>
      <c r="J115" s="62">
        <f t="shared" si="0"/>
        <v>0.12549537648612946</v>
      </c>
      <c r="K115" s="62">
        <f t="shared" si="0"/>
        <v>7.9316656497863507E-3</v>
      </c>
      <c r="L115" s="62">
        <f t="shared" si="0"/>
        <v>1.9279128248113973E-2</v>
      </c>
      <c r="M115" s="62">
        <f t="shared" si="0"/>
        <v>2.9394473838918285E-3</v>
      </c>
      <c r="N115" s="62">
        <f t="shared" si="0"/>
        <v>2.9708853238265003E-3</v>
      </c>
      <c r="O115" s="62">
        <f t="shared" si="0"/>
        <v>4.6296296296295305E-3</v>
      </c>
      <c r="P115" s="62">
        <f t="shared" si="0"/>
        <v>2.0974706971005588E-2</v>
      </c>
      <c r="Q115" s="62">
        <f t="shared" si="0"/>
        <v>3.6745406824146387E-3</v>
      </c>
      <c r="R115" s="62">
        <f t="shared" si="0"/>
        <v>7.1556350626119092E-3</v>
      </c>
      <c r="S115" s="62">
        <f t="shared" si="0"/>
        <v>7.334963325183479E-3</v>
      </c>
      <c r="T115" s="62">
        <f t="shared" si="0"/>
        <v>7.1813285457810721E-3</v>
      </c>
      <c r="U115" s="62">
        <f t="shared" si="0"/>
        <v>0</v>
      </c>
      <c r="V115" s="62">
        <f t="shared" si="0"/>
        <v>1.0995723885155843E-2</v>
      </c>
      <c r="W115" s="62">
        <f t="shared" si="0"/>
        <v>4.3397396156229914E-3</v>
      </c>
      <c r="X115" s="62">
        <f t="shared" si="0"/>
        <v>3.4904013961605251E-3</v>
      </c>
      <c r="Y115" s="62">
        <f t="shared" si="0"/>
        <v>1.0773130544993591E-2</v>
      </c>
      <c r="Z115" s="62">
        <f t="shared" si="0"/>
        <v>3.0731407498463433E-3</v>
      </c>
      <c r="AA115" s="62">
        <f t="shared" si="0"/>
        <v>2.967359050445104E-3</v>
      </c>
      <c r="AB115" s="62">
        <f t="shared" si="0"/>
        <v>5.6179775280899239E-3</v>
      </c>
      <c r="AC115" s="63">
        <f t="shared" si="0"/>
        <v>5.4945054945053553E-3</v>
      </c>
      <c r="AD115" s="39"/>
    </row>
    <row r="116" spans="1:30" x14ac:dyDescent="0.25">
      <c r="A116" s="52" t="s">
        <v>30</v>
      </c>
      <c r="B116" s="2">
        <v>2021</v>
      </c>
      <c r="C116" s="2" t="s">
        <v>45</v>
      </c>
      <c r="D116" s="62">
        <f t="shared" si="1"/>
        <v>5.4757015742642806E-3</v>
      </c>
      <c r="E116" s="62">
        <f t="shared" si="0"/>
        <v>-1.3333333333333277E-2</v>
      </c>
      <c r="F116" s="62">
        <f t="shared" si="0"/>
        <v>8.230452674897153E-3</v>
      </c>
      <c r="G116" s="62">
        <f t="shared" si="0"/>
        <v>4.419191919191847E-3</v>
      </c>
      <c r="H116" s="62">
        <f t="shared" si="0"/>
        <v>-2.0120724346076742E-3</v>
      </c>
      <c r="I116" s="62">
        <f t="shared" si="0"/>
        <v>3.9318479685451794E-3</v>
      </c>
      <c r="J116" s="62">
        <f t="shared" si="0"/>
        <v>7.9225352112676048E-2</v>
      </c>
      <c r="K116" s="62">
        <f t="shared" si="0"/>
        <v>1.2106537530267377E-3</v>
      </c>
      <c r="L116" s="62">
        <f t="shared" si="0"/>
        <v>4.1118421052631577E-3</v>
      </c>
      <c r="M116" s="62">
        <f t="shared" si="0"/>
        <v>1.1723329425557859E-3</v>
      </c>
      <c r="N116" s="62">
        <f t="shared" si="0"/>
        <v>1.7772511848340221E-3</v>
      </c>
      <c r="O116" s="62">
        <f t="shared" ref="E116:AC126" si="2">IFERROR((O23-O22)/O22,0)</f>
        <v>4.0322580645162278E-3</v>
      </c>
      <c r="P116" s="62">
        <f t="shared" si="2"/>
        <v>1.2084592145015106E-2</v>
      </c>
      <c r="Q116" s="62">
        <f t="shared" si="2"/>
        <v>1.0460251046025997E-3</v>
      </c>
      <c r="R116" s="62">
        <f t="shared" si="2"/>
        <v>8.8809946714031966E-3</v>
      </c>
      <c r="S116" s="62">
        <f t="shared" si="2"/>
        <v>7.2815533980581833E-3</v>
      </c>
      <c r="T116" s="62">
        <f t="shared" si="2"/>
        <v>8.9126559714794995E-3</v>
      </c>
      <c r="U116" s="62">
        <f t="shared" si="2"/>
        <v>0</v>
      </c>
      <c r="V116" s="62">
        <f t="shared" si="2"/>
        <v>-1.2084592145014418E-3</v>
      </c>
      <c r="W116" s="62">
        <f t="shared" si="2"/>
        <v>5.5555555555555905E-3</v>
      </c>
      <c r="X116" s="62">
        <f t="shared" si="2"/>
        <v>5.2173913043478595E-3</v>
      </c>
      <c r="Y116" s="62">
        <f t="shared" si="2"/>
        <v>-3.7617554858933814E-3</v>
      </c>
      <c r="Z116" s="62">
        <f t="shared" si="2"/>
        <v>3.6764705882354337E-3</v>
      </c>
      <c r="AA116" s="62">
        <f t="shared" si="2"/>
        <v>1.7751479289941502E-3</v>
      </c>
      <c r="AB116" s="62">
        <f t="shared" si="2"/>
        <v>8.0695220360025542E-3</v>
      </c>
      <c r="AC116" s="63">
        <f t="shared" si="2"/>
        <v>3.0358227079538558E-3</v>
      </c>
      <c r="AD116" s="39"/>
    </row>
    <row r="117" spans="1:30" x14ac:dyDescent="0.25">
      <c r="A117" s="52" t="s">
        <v>30</v>
      </c>
      <c r="B117" s="2">
        <v>2021</v>
      </c>
      <c r="C117" s="2" t="s">
        <v>46</v>
      </c>
      <c r="D117" s="62">
        <f t="shared" si="1"/>
        <v>3.4036759700476512E-3</v>
      </c>
      <c r="E117" s="62">
        <f t="shared" si="2"/>
        <v>-1.4014014014014069E-2</v>
      </c>
      <c r="F117" s="62">
        <f t="shared" si="2"/>
        <v>2.9154518950437316E-2</v>
      </c>
      <c r="G117" s="62">
        <f t="shared" si="2"/>
        <v>4.3997485857952051E-3</v>
      </c>
      <c r="H117" s="62">
        <f t="shared" si="2"/>
        <v>-1.310483870967739E-2</v>
      </c>
      <c r="I117" s="62">
        <f t="shared" si="2"/>
        <v>-7.8328981723236862E-3</v>
      </c>
      <c r="J117" s="62">
        <f t="shared" si="2"/>
        <v>-6.3077759651984741E-2</v>
      </c>
      <c r="K117" s="62">
        <f t="shared" si="2"/>
        <v>-5.4413542926239761E-3</v>
      </c>
      <c r="L117" s="62">
        <f t="shared" si="2"/>
        <v>-1.2285012285012286E-2</v>
      </c>
      <c r="M117" s="62">
        <f t="shared" si="2"/>
        <v>5.2693208430912011E-3</v>
      </c>
      <c r="N117" s="62">
        <f t="shared" si="2"/>
        <v>3.548196333530422E-3</v>
      </c>
      <c r="O117" s="62">
        <f t="shared" si="2"/>
        <v>4.5897877223177444E-3</v>
      </c>
      <c r="P117" s="62">
        <f t="shared" si="2"/>
        <v>-1.0149253731343216E-2</v>
      </c>
      <c r="Q117" s="62">
        <f t="shared" si="2"/>
        <v>-3.1347962382444845E-3</v>
      </c>
      <c r="R117" s="62">
        <f t="shared" si="2"/>
        <v>8.2159624413145876E-3</v>
      </c>
      <c r="S117" s="62">
        <f t="shared" si="2"/>
        <v>7.8313253012048875E-3</v>
      </c>
      <c r="T117" s="62">
        <f t="shared" si="2"/>
        <v>8.2449941107183584E-3</v>
      </c>
      <c r="U117" s="62">
        <f t="shared" si="2"/>
        <v>0</v>
      </c>
      <c r="V117" s="62">
        <f t="shared" si="2"/>
        <v>1.8148820326677733E-3</v>
      </c>
      <c r="W117" s="62">
        <f t="shared" si="2"/>
        <v>6.1387354205033762E-3</v>
      </c>
      <c r="X117" s="62">
        <f t="shared" si="2"/>
        <v>3.4602076124567146E-3</v>
      </c>
      <c r="Y117" s="62">
        <f t="shared" si="2"/>
        <v>7.551919446192502E-3</v>
      </c>
      <c r="Z117" s="62">
        <f t="shared" si="2"/>
        <v>4.2735042735042037E-3</v>
      </c>
      <c r="AA117" s="62">
        <f t="shared" si="2"/>
        <v>2.3626698168929547E-3</v>
      </c>
      <c r="AB117" s="62">
        <f t="shared" si="2"/>
        <v>2.4630541871921529E-3</v>
      </c>
      <c r="AC117" s="63">
        <f t="shared" si="2"/>
        <v>4.8426150121066063E-3</v>
      </c>
      <c r="AD117" s="39"/>
    </row>
    <row r="118" spans="1:30" x14ac:dyDescent="0.25">
      <c r="A118" s="52" t="s">
        <v>30</v>
      </c>
      <c r="B118" s="2">
        <v>2022</v>
      </c>
      <c r="C118" s="2" t="s">
        <v>31</v>
      </c>
      <c r="D118" s="62">
        <f t="shared" si="1"/>
        <v>6.1058344640434574E-3</v>
      </c>
      <c r="E118" s="62">
        <f t="shared" si="2"/>
        <v>-5.0761421319794073E-4</v>
      </c>
      <c r="F118" s="62">
        <f t="shared" si="2"/>
        <v>8.4985835694051E-3</v>
      </c>
      <c r="G118" s="62">
        <f t="shared" si="2"/>
        <v>4.3804755944930451E-3</v>
      </c>
      <c r="H118" s="62">
        <f t="shared" si="2"/>
        <v>-1.6343207354443397E-2</v>
      </c>
      <c r="I118" s="62">
        <f t="shared" si="2"/>
        <v>-5.2631578947369166E-3</v>
      </c>
      <c r="J118" s="62">
        <f t="shared" si="2"/>
        <v>-7.6030179918746499E-2</v>
      </c>
      <c r="K118" s="62">
        <f t="shared" si="2"/>
        <v>-3.0395136778115501E-3</v>
      </c>
      <c r="L118" s="62">
        <f t="shared" si="2"/>
        <v>-1.0779436152570458E-2</v>
      </c>
      <c r="M118" s="62">
        <f t="shared" si="2"/>
        <v>9.3185789167153348E-3</v>
      </c>
      <c r="N118" s="62">
        <f t="shared" si="2"/>
        <v>5.8927519151457124E-4</v>
      </c>
      <c r="O118" s="62">
        <f t="shared" si="2"/>
        <v>3.9977155910909026E-3</v>
      </c>
      <c r="P118" s="62">
        <f t="shared" si="2"/>
        <v>-1.0253317249698534E-2</v>
      </c>
      <c r="Q118" s="62">
        <f t="shared" si="2"/>
        <v>-5.2410901467517159E-4</v>
      </c>
      <c r="R118" s="62">
        <f t="shared" si="2"/>
        <v>8.1490104772990526E-3</v>
      </c>
      <c r="S118" s="62">
        <f t="shared" si="2"/>
        <v>1.195457262402869E-2</v>
      </c>
      <c r="T118" s="62">
        <f t="shared" si="2"/>
        <v>8.7616822429906552E-3</v>
      </c>
      <c r="U118" s="62">
        <f t="shared" si="2"/>
        <v>0</v>
      </c>
      <c r="V118" s="62">
        <f t="shared" si="2"/>
        <v>1.2077294685991368E-3</v>
      </c>
      <c r="W118" s="62">
        <f t="shared" si="2"/>
        <v>6.1012812690665035E-3</v>
      </c>
      <c r="X118" s="62">
        <f t="shared" si="2"/>
        <v>4.0229885057470613E-3</v>
      </c>
      <c r="Y118" s="62">
        <f t="shared" si="2"/>
        <v>4.3722673329170333E-3</v>
      </c>
      <c r="Z118" s="62">
        <f t="shared" si="2"/>
        <v>2.4316109422492745E-3</v>
      </c>
      <c r="AA118" s="62">
        <f t="shared" si="2"/>
        <v>1.1785503830289751E-3</v>
      </c>
      <c r="AB118" s="62">
        <f t="shared" si="2"/>
        <v>2.4570024570023173E-3</v>
      </c>
      <c r="AC118" s="63">
        <f t="shared" si="2"/>
        <v>3.614457831325267E-3</v>
      </c>
      <c r="AD118" s="39"/>
    </row>
    <row r="119" spans="1:30" x14ac:dyDescent="0.25">
      <c r="A119" s="52" t="s">
        <v>30</v>
      </c>
      <c r="B119" s="2">
        <v>2022</v>
      </c>
      <c r="C119" s="2" t="s">
        <v>35</v>
      </c>
      <c r="D119" s="62">
        <f t="shared" si="1"/>
        <v>3.3715441672285905E-3</v>
      </c>
      <c r="E119" s="62">
        <f t="shared" si="2"/>
        <v>6.0944641950227965E-3</v>
      </c>
      <c r="F119" s="62">
        <f t="shared" si="2"/>
        <v>-1.4044943820224719E-2</v>
      </c>
      <c r="G119" s="62">
        <f t="shared" si="2"/>
        <v>1.2461059190030444E-3</v>
      </c>
      <c r="H119" s="62">
        <f t="shared" si="2"/>
        <v>0</v>
      </c>
      <c r="I119" s="62">
        <f t="shared" si="2"/>
        <v>1.3227513227514357E-3</v>
      </c>
      <c r="J119" s="62">
        <f t="shared" si="2"/>
        <v>-2.5125628140703519E-2</v>
      </c>
      <c r="K119" s="62">
        <f t="shared" si="2"/>
        <v>-6.0975609756094091E-4</v>
      </c>
      <c r="L119" s="62">
        <f t="shared" si="2"/>
        <v>-1.0058675607711676E-2</v>
      </c>
      <c r="M119" s="62">
        <f t="shared" si="2"/>
        <v>1.2117714945181731E-2</v>
      </c>
      <c r="N119" s="62">
        <f t="shared" si="2"/>
        <v>4.1224970553591792E-3</v>
      </c>
      <c r="O119" s="62">
        <f t="shared" si="2"/>
        <v>2.844141069397042E-3</v>
      </c>
      <c r="P119" s="62">
        <f t="shared" si="2"/>
        <v>-1.2187690432662317E-3</v>
      </c>
      <c r="Q119" s="62">
        <f t="shared" si="2"/>
        <v>4.1950707918196719E-3</v>
      </c>
      <c r="R119" s="62">
        <f t="shared" si="2"/>
        <v>5.19630484988456E-3</v>
      </c>
      <c r="S119" s="62">
        <f t="shared" si="2"/>
        <v>1.004134672179556E-2</v>
      </c>
      <c r="T119" s="62">
        <f t="shared" si="2"/>
        <v>5.7903879559930522E-3</v>
      </c>
      <c r="U119" s="62">
        <f t="shared" si="2"/>
        <v>0</v>
      </c>
      <c r="V119" s="62">
        <f t="shared" si="2"/>
        <v>9.6501809408926064E-3</v>
      </c>
      <c r="W119" s="62">
        <f t="shared" si="2"/>
        <v>4.8514251061248202E-3</v>
      </c>
      <c r="X119" s="62">
        <f t="shared" si="2"/>
        <v>3.4344590726961806E-3</v>
      </c>
      <c r="Y119" s="62">
        <f t="shared" si="2"/>
        <v>2.4875621890545849E-3</v>
      </c>
      <c r="Z119" s="62">
        <f t="shared" si="2"/>
        <v>3.6385688295936585E-3</v>
      </c>
      <c r="AA119" s="62">
        <f t="shared" si="2"/>
        <v>2.3543260741613046E-3</v>
      </c>
      <c r="AB119" s="62">
        <f t="shared" si="2"/>
        <v>7.9656862745098745E-3</v>
      </c>
      <c r="AC119" s="63">
        <f t="shared" si="2"/>
        <v>4.2016806722690097E-3</v>
      </c>
      <c r="AD119" s="39"/>
    </row>
    <row r="120" spans="1:30" x14ac:dyDescent="0.25">
      <c r="A120" s="52" t="s">
        <v>30</v>
      </c>
      <c r="B120" s="2">
        <v>2022</v>
      </c>
      <c r="C120" s="2" t="s">
        <v>36</v>
      </c>
      <c r="D120" s="62">
        <f t="shared" si="1"/>
        <v>9.4086021505374803E-3</v>
      </c>
      <c r="E120" s="62">
        <f t="shared" si="2"/>
        <v>4.9974760222110073E-2</v>
      </c>
      <c r="F120" s="62">
        <f t="shared" si="2"/>
        <v>-4.3304843304843271E-2</v>
      </c>
      <c r="G120" s="62">
        <f t="shared" si="2"/>
        <v>8.0896079651525295E-3</v>
      </c>
      <c r="H120" s="62">
        <f t="shared" si="2"/>
        <v>5.4517133956386292E-2</v>
      </c>
      <c r="I120" s="62">
        <f t="shared" si="2"/>
        <v>2.9722589167767502E-2</v>
      </c>
      <c r="J120" s="62">
        <f t="shared" si="2"/>
        <v>3.8659793814434457E-3</v>
      </c>
      <c r="K120" s="62">
        <f t="shared" si="2"/>
        <v>1.8303843807198471E-3</v>
      </c>
      <c r="L120" s="62">
        <f t="shared" si="2"/>
        <v>0</v>
      </c>
      <c r="M120" s="62">
        <f t="shared" si="2"/>
        <v>1.8814139110604235E-2</v>
      </c>
      <c r="N120" s="62">
        <f t="shared" si="2"/>
        <v>4.1055718475072646E-3</v>
      </c>
      <c r="O120" s="62">
        <f t="shared" si="2"/>
        <v>6.239364719228555E-3</v>
      </c>
      <c r="P120" s="62">
        <f t="shared" si="2"/>
        <v>1.647345942647949E-2</v>
      </c>
      <c r="Q120" s="62">
        <f t="shared" si="2"/>
        <v>4.177545691906065E-3</v>
      </c>
      <c r="R120" s="62">
        <f t="shared" si="2"/>
        <v>7.466973004020743E-3</v>
      </c>
      <c r="S120" s="62">
        <f t="shared" si="2"/>
        <v>1.2865497076023325E-2</v>
      </c>
      <c r="T120" s="62">
        <f t="shared" si="2"/>
        <v>8.0598733448474721E-3</v>
      </c>
      <c r="U120" s="62">
        <f t="shared" si="2"/>
        <v>0</v>
      </c>
      <c r="V120" s="62">
        <f t="shared" si="2"/>
        <v>8.9605734767025085E-3</v>
      </c>
      <c r="W120" s="62">
        <f t="shared" si="2"/>
        <v>4.8280024140012756E-3</v>
      </c>
      <c r="X120" s="62">
        <f t="shared" si="2"/>
        <v>3.9931545921277154E-3</v>
      </c>
      <c r="Y120" s="62">
        <f t="shared" si="2"/>
        <v>4.9627791563276145E-3</v>
      </c>
      <c r="Z120" s="62">
        <f t="shared" si="2"/>
        <v>6.6465256797582735E-3</v>
      </c>
      <c r="AA120" s="62">
        <f t="shared" si="2"/>
        <v>1.7615971814444094E-3</v>
      </c>
      <c r="AB120" s="62">
        <f t="shared" si="2"/>
        <v>1.7629179331307025E-2</v>
      </c>
      <c r="AC120" s="63">
        <f t="shared" si="2"/>
        <v>5.977286312014345E-3</v>
      </c>
      <c r="AD120" s="39"/>
    </row>
    <row r="121" spans="1:30" x14ac:dyDescent="0.25">
      <c r="A121" s="52" t="s">
        <v>30</v>
      </c>
      <c r="B121" s="2">
        <v>2022</v>
      </c>
      <c r="C121" s="2" t="s">
        <v>37</v>
      </c>
      <c r="D121" s="62">
        <f t="shared" si="1"/>
        <v>1.0652463382157275E-2</v>
      </c>
      <c r="E121" s="62">
        <f t="shared" si="2"/>
        <v>8.173076923076868E-3</v>
      </c>
      <c r="F121" s="62">
        <f t="shared" si="2"/>
        <v>-2.0250148898153696E-2</v>
      </c>
      <c r="G121" s="62">
        <f t="shared" si="2"/>
        <v>1.1111111111111181E-2</v>
      </c>
      <c r="H121" s="62">
        <f t="shared" si="2"/>
        <v>2.1171836533727284E-2</v>
      </c>
      <c r="I121" s="62">
        <f t="shared" si="2"/>
        <v>8.8518280949326372E-2</v>
      </c>
      <c r="J121" s="62">
        <f t="shared" si="2"/>
        <v>-1.4120667522464807E-2</v>
      </c>
      <c r="K121" s="62">
        <f t="shared" si="2"/>
        <v>5.4811205846528972E-3</v>
      </c>
      <c r="L121" s="62">
        <f t="shared" si="2"/>
        <v>8.4674005080447533E-4</v>
      </c>
      <c r="M121" s="62">
        <f t="shared" si="2"/>
        <v>2.3503077783995619E-2</v>
      </c>
      <c r="N121" s="62">
        <f t="shared" si="2"/>
        <v>7.009345794392623E-3</v>
      </c>
      <c r="O121" s="62">
        <f t="shared" si="2"/>
        <v>8.4554678692220966E-3</v>
      </c>
      <c r="P121" s="62">
        <f t="shared" si="2"/>
        <v>1.2004801920768308E-2</v>
      </c>
      <c r="Q121" s="62">
        <f t="shared" si="2"/>
        <v>2.6001040041601664E-3</v>
      </c>
      <c r="R121" s="62">
        <f t="shared" si="2"/>
        <v>1.1972633979475452E-2</v>
      </c>
      <c r="S121" s="62">
        <f t="shared" si="2"/>
        <v>1.0969976905311811E-2</v>
      </c>
      <c r="T121" s="62">
        <f t="shared" si="2"/>
        <v>1.1422044545973729E-2</v>
      </c>
      <c r="U121" s="62">
        <f t="shared" si="2"/>
        <v>0</v>
      </c>
      <c r="V121" s="62">
        <f t="shared" si="2"/>
        <v>2.6050917702782745E-2</v>
      </c>
      <c r="W121" s="62">
        <f t="shared" si="2"/>
        <v>7.2072072072071388E-3</v>
      </c>
      <c r="X121" s="62">
        <f t="shared" si="2"/>
        <v>5.681818181818182E-3</v>
      </c>
      <c r="Y121" s="62">
        <f t="shared" si="2"/>
        <v>2.5925925925925856E-2</v>
      </c>
      <c r="Z121" s="62">
        <f t="shared" si="2"/>
        <v>3.6014405762304583E-3</v>
      </c>
      <c r="AA121" s="62">
        <f t="shared" si="2"/>
        <v>1.7584994138335954E-3</v>
      </c>
      <c r="AB121" s="62">
        <f t="shared" si="2"/>
        <v>9.557945041815976E-3</v>
      </c>
      <c r="AC121" s="63">
        <f t="shared" si="2"/>
        <v>1.1289364230540565E-2</v>
      </c>
      <c r="AD121" s="39"/>
    </row>
    <row r="122" spans="1:30" x14ac:dyDescent="0.25">
      <c r="A122" s="52" t="s">
        <v>30</v>
      </c>
      <c r="B122" s="2">
        <v>2022</v>
      </c>
      <c r="C122" s="2" t="s">
        <v>38</v>
      </c>
      <c r="D122" s="62">
        <f t="shared" si="1"/>
        <v>7.2463768115941648E-3</v>
      </c>
      <c r="E122" s="62">
        <f t="shared" si="2"/>
        <v>2.3843586075345733E-2</v>
      </c>
      <c r="F122" s="62">
        <f t="shared" si="2"/>
        <v>-1.8844984802431575E-2</v>
      </c>
      <c r="G122" s="62">
        <f t="shared" si="2"/>
        <v>4.8840048840047799E-3</v>
      </c>
      <c r="H122" s="62">
        <f t="shared" si="2"/>
        <v>1.2054001928640309E-2</v>
      </c>
      <c r="I122" s="62">
        <f t="shared" si="2"/>
        <v>-1.0017678255745366E-2</v>
      </c>
      <c r="J122" s="62">
        <f t="shared" si="2"/>
        <v>4.4270833333333412E-2</v>
      </c>
      <c r="K122" s="62">
        <f t="shared" si="2"/>
        <v>-6.0569351907931147E-4</v>
      </c>
      <c r="L122" s="62">
        <f t="shared" si="2"/>
        <v>5.9221658206430015E-3</v>
      </c>
      <c r="M122" s="62">
        <f t="shared" si="2"/>
        <v>2.0229633679606278E-2</v>
      </c>
      <c r="N122" s="62">
        <f t="shared" si="2"/>
        <v>4.6403712296982768E-3</v>
      </c>
      <c r="O122" s="62">
        <f t="shared" si="2"/>
        <v>8.3845723868082728E-3</v>
      </c>
      <c r="P122" s="62">
        <f t="shared" si="2"/>
        <v>1.3048635824436638E-2</v>
      </c>
      <c r="Q122" s="62">
        <f t="shared" si="2"/>
        <v>5.1867219917009499E-4</v>
      </c>
      <c r="R122" s="62">
        <f t="shared" si="2"/>
        <v>1.0140845070422599E-2</v>
      </c>
      <c r="S122" s="62">
        <f t="shared" si="2"/>
        <v>1.1993146773272383E-2</v>
      </c>
      <c r="T122" s="62">
        <f t="shared" si="2"/>
        <v>1.0728402032749891E-2</v>
      </c>
      <c r="U122" s="62">
        <f t="shared" si="2"/>
        <v>0</v>
      </c>
      <c r="V122" s="62">
        <f t="shared" si="2"/>
        <v>1.1540680900173109E-2</v>
      </c>
      <c r="W122" s="62">
        <f t="shared" si="2"/>
        <v>7.1556350626119092E-3</v>
      </c>
      <c r="X122" s="62">
        <f t="shared" si="2"/>
        <v>3.9548022598869413E-3</v>
      </c>
      <c r="Y122" s="62">
        <f t="shared" si="2"/>
        <v>5.4151624548736807E-3</v>
      </c>
      <c r="Z122" s="62">
        <f t="shared" si="2"/>
        <v>2.3923444976076897E-3</v>
      </c>
      <c r="AA122" s="62">
        <f t="shared" si="2"/>
        <v>5.2662375658280025E-3</v>
      </c>
      <c r="AB122" s="62">
        <f t="shared" si="2"/>
        <v>-2.9585798816568047E-3</v>
      </c>
      <c r="AC122" s="63">
        <f t="shared" si="2"/>
        <v>4.1128084606346484E-3</v>
      </c>
      <c r="AD122" s="39"/>
    </row>
    <row r="123" spans="1:30" x14ac:dyDescent="0.25">
      <c r="A123" s="52" t="s">
        <v>30</v>
      </c>
      <c r="B123" s="2">
        <v>2022</v>
      </c>
      <c r="C123" s="2" t="s">
        <v>39</v>
      </c>
      <c r="D123" s="62">
        <f t="shared" si="1"/>
        <v>5.8862001308044847E-3</v>
      </c>
      <c r="E123" s="62">
        <f t="shared" si="2"/>
        <v>1.1644154634373545E-2</v>
      </c>
      <c r="F123" s="62">
        <f t="shared" si="2"/>
        <v>5.0805452292441065E-2</v>
      </c>
      <c r="G123" s="62">
        <f t="shared" si="2"/>
        <v>4.8602673147023776E-3</v>
      </c>
      <c r="H123" s="62">
        <f t="shared" si="2"/>
        <v>-8.5755121486422638E-3</v>
      </c>
      <c r="I123" s="62">
        <f t="shared" si="2"/>
        <v>-1.3095238095238028E-2</v>
      </c>
      <c r="J123" s="62">
        <f t="shared" si="2"/>
        <v>4.3017456359102278E-2</v>
      </c>
      <c r="K123" s="62">
        <f t="shared" si="2"/>
        <v>-2.4242424242424585E-3</v>
      </c>
      <c r="L123" s="62">
        <f t="shared" si="2"/>
        <v>1.6820857863750094E-3</v>
      </c>
      <c r="M123" s="62">
        <f t="shared" si="2"/>
        <v>1.2325830653804992E-2</v>
      </c>
      <c r="N123" s="62">
        <f t="shared" si="2"/>
        <v>5.7736720554272519E-3</v>
      </c>
      <c r="O123" s="62">
        <f t="shared" si="2"/>
        <v>8.3148558758314849E-3</v>
      </c>
      <c r="P123" s="62">
        <f t="shared" si="2"/>
        <v>9.3676814988290051E-3</v>
      </c>
      <c r="Q123" s="62">
        <f t="shared" si="2"/>
        <v>0</v>
      </c>
      <c r="R123" s="62">
        <f t="shared" si="2"/>
        <v>7.8081427774678034E-3</v>
      </c>
      <c r="S123" s="62">
        <f t="shared" si="2"/>
        <v>8.4650112866817163E-3</v>
      </c>
      <c r="T123" s="62">
        <f t="shared" si="2"/>
        <v>7.8212290502793613E-3</v>
      </c>
      <c r="U123" s="62">
        <f t="shared" si="2"/>
        <v>0</v>
      </c>
      <c r="V123" s="62">
        <f t="shared" si="2"/>
        <v>7.9863091842554308E-3</v>
      </c>
      <c r="W123" s="62">
        <f t="shared" si="2"/>
        <v>8.28892835997635E-3</v>
      </c>
      <c r="X123" s="62">
        <f t="shared" si="2"/>
        <v>2.8137310073157009E-3</v>
      </c>
      <c r="Y123" s="62">
        <f t="shared" si="2"/>
        <v>-9.5751047277079261E-3</v>
      </c>
      <c r="Z123" s="62">
        <f t="shared" si="2"/>
        <v>2.386634844868769E-3</v>
      </c>
      <c r="AA123" s="62">
        <f t="shared" si="2"/>
        <v>4.6565774155994345E-3</v>
      </c>
      <c r="AB123" s="62">
        <f t="shared" si="2"/>
        <v>5.9347181008902079E-3</v>
      </c>
      <c r="AC123" s="63">
        <f t="shared" si="2"/>
        <v>5.8513750731418557E-4</v>
      </c>
      <c r="AD123" s="39"/>
    </row>
    <row r="124" spans="1:30" x14ac:dyDescent="0.25">
      <c r="A124" s="52" t="s">
        <v>30</v>
      </c>
      <c r="B124" s="2">
        <v>2022</v>
      </c>
      <c r="C124" s="2" t="s">
        <v>40</v>
      </c>
      <c r="D124" s="62">
        <f t="shared" si="1"/>
        <v>9.102730819245626E-3</v>
      </c>
      <c r="E124" s="62">
        <f t="shared" si="2"/>
        <v>-2.9465930018416103E-2</v>
      </c>
      <c r="F124" s="62">
        <f t="shared" si="2"/>
        <v>2.7712264150943498E-2</v>
      </c>
      <c r="G124" s="62">
        <f t="shared" si="2"/>
        <v>5.4413542926239761E-3</v>
      </c>
      <c r="H124" s="62">
        <f t="shared" si="2"/>
        <v>-2.8351753964440202E-2</v>
      </c>
      <c r="I124" s="62">
        <f t="shared" si="2"/>
        <v>2.2919179734619918E-2</v>
      </c>
      <c r="J124" s="62">
        <f t="shared" si="2"/>
        <v>7.770472205618547E-3</v>
      </c>
      <c r="K124" s="62">
        <f t="shared" si="2"/>
        <v>-1.2150668286755081E-3</v>
      </c>
      <c r="L124" s="62">
        <f t="shared" si="2"/>
        <v>8.3963056255254855E-4</v>
      </c>
      <c r="M124" s="62">
        <f t="shared" si="2"/>
        <v>1.5352038115405005E-2</v>
      </c>
      <c r="N124" s="62">
        <f t="shared" si="2"/>
        <v>1.7221584385764144E-3</v>
      </c>
      <c r="O124" s="62">
        <f t="shared" si="2"/>
        <v>6.5970313358987825E-3</v>
      </c>
      <c r="P124" s="62">
        <f t="shared" si="2"/>
        <v>5.80046403712264E-4</v>
      </c>
      <c r="Q124" s="62">
        <f t="shared" si="2"/>
        <v>1.5552099533436129E-3</v>
      </c>
      <c r="R124" s="62">
        <f t="shared" si="2"/>
        <v>7.1942446043166105E-3</v>
      </c>
      <c r="S124" s="62">
        <f t="shared" si="2"/>
        <v>8.9535534415222315E-3</v>
      </c>
      <c r="T124" s="62">
        <f t="shared" si="2"/>
        <v>7.2062084257205261E-3</v>
      </c>
      <c r="U124" s="62">
        <f t="shared" si="2"/>
        <v>0</v>
      </c>
      <c r="V124" s="62">
        <f t="shared" si="2"/>
        <v>1.6411997736276208E-2</v>
      </c>
      <c r="W124" s="62">
        <f t="shared" si="2"/>
        <v>5.8719906048150319E-3</v>
      </c>
      <c r="X124" s="62">
        <f t="shared" si="2"/>
        <v>3.3670033670034948E-3</v>
      </c>
      <c r="Y124" s="62">
        <f t="shared" si="2"/>
        <v>4.8338368580061108E-3</v>
      </c>
      <c r="Z124" s="62">
        <f t="shared" si="2"/>
        <v>3.5714285714285375E-3</v>
      </c>
      <c r="AA124" s="62">
        <f t="shared" si="2"/>
        <v>1.2166859791425228E-2</v>
      </c>
      <c r="AB124" s="62">
        <f t="shared" si="2"/>
        <v>1.1799410029497855E-3</v>
      </c>
      <c r="AC124" s="63">
        <f t="shared" si="2"/>
        <v>4.6783625730994821E-3</v>
      </c>
      <c r="AD124" s="39"/>
    </row>
    <row r="125" spans="1:30" x14ac:dyDescent="0.25">
      <c r="A125" s="52" t="s">
        <v>30</v>
      </c>
      <c r="B125" s="2">
        <v>2022</v>
      </c>
      <c r="C125" s="2" t="s">
        <v>41</v>
      </c>
      <c r="D125" s="62">
        <f t="shared" si="1"/>
        <v>2.7706185567010384E-2</v>
      </c>
      <c r="E125" s="62">
        <f t="shared" si="2"/>
        <v>-3.1783681214421329E-2</v>
      </c>
      <c r="F125" s="62">
        <f t="shared" si="2"/>
        <v>-3.4423407917383818E-2</v>
      </c>
      <c r="G125" s="62">
        <f t="shared" si="2"/>
        <v>9.6211665664461474E-3</v>
      </c>
      <c r="H125" s="62">
        <f t="shared" si="2"/>
        <v>-2.0276953511374849E-2</v>
      </c>
      <c r="I125" s="62">
        <f t="shared" si="2"/>
        <v>-2.3584905660377696E-3</v>
      </c>
      <c r="J125" s="62">
        <f t="shared" si="2"/>
        <v>2.6690391459074734E-2</v>
      </c>
      <c r="K125" s="62">
        <f t="shared" si="2"/>
        <v>1.6423357664233508E-2</v>
      </c>
      <c r="L125" s="62">
        <f t="shared" si="2"/>
        <v>8.389261744966443E-3</v>
      </c>
      <c r="M125" s="62">
        <f t="shared" si="2"/>
        <v>1.981230448383724E-2</v>
      </c>
      <c r="N125" s="62">
        <f t="shared" si="2"/>
        <v>1.7191977077364547E-3</v>
      </c>
      <c r="O125" s="62">
        <f t="shared" si="2"/>
        <v>4.9153468050246079E-3</v>
      </c>
      <c r="P125" s="62">
        <f t="shared" si="2"/>
        <v>8.1159420289855407E-3</v>
      </c>
      <c r="Q125" s="62">
        <f t="shared" si="2"/>
        <v>2.587991718426501E-3</v>
      </c>
      <c r="R125" s="62">
        <f t="shared" si="2"/>
        <v>6.593406593406531E-3</v>
      </c>
      <c r="S125" s="62">
        <f t="shared" si="2"/>
        <v>7.7648363838046432E-3</v>
      </c>
      <c r="T125" s="62">
        <f t="shared" si="2"/>
        <v>7.1546505228399088E-3</v>
      </c>
      <c r="U125" s="62">
        <f t="shared" si="2"/>
        <v>0</v>
      </c>
      <c r="V125" s="62">
        <f t="shared" si="2"/>
        <v>-2.7839643652561247E-3</v>
      </c>
      <c r="W125" s="62">
        <f t="shared" si="2"/>
        <v>5.837711617046118E-3</v>
      </c>
      <c r="X125" s="62">
        <f t="shared" si="2"/>
        <v>3.355704697986545E-3</v>
      </c>
      <c r="Y125" s="62">
        <f t="shared" si="2"/>
        <v>1.8039687312085564E-3</v>
      </c>
      <c r="Z125" s="62">
        <f t="shared" si="2"/>
        <v>4.1518386714117263E-3</v>
      </c>
      <c r="AA125" s="62">
        <f t="shared" si="2"/>
        <v>5.7240984544934172E-3</v>
      </c>
      <c r="AB125" s="62">
        <f t="shared" si="2"/>
        <v>8.2498526812021557E-3</v>
      </c>
      <c r="AC125" s="63">
        <f t="shared" si="2"/>
        <v>4.6565774155994345E-3</v>
      </c>
      <c r="AD125" s="39"/>
    </row>
    <row r="126" spans="1:30" x14ac:dyDescent="0.25">
      <c r="A126" s="52" t="s">
        <v>30</v>
      </c>
      <c r="B126" s="2">
        <v>2022</v>
      </c>
      <c r="C126" s="2" t="s">
        <v>42</v>
      </c>
      <c r="D126" s="62">
        <f t="shared" si="1"/>
        <v>2.1316614420062732E-2</v>
      </c>
      <c r="E126" s="62">
        <f t="shared" si="2"/>
        <v>1.2738853503184686E-2</v>
      </c>
      <c r="F126" s="62">
        <f t="shared" si="2"/>
        <v>4.1592394533570328E-3</v>
      </c>
      <c r="G126" s="62">
        <f t="shared" si="2"/>
        <v>9.5294818344252193E-3</v>
      </c>
      <c r="H126" s="62">
        <f t="shared" si="2"/>
        <v>-2.0191822311963654E-2</v>
      </c>
      <c r="I126" s="62">
        <f t="shared" si="2"/>
        <v>-3.0141843971631173E-2</v>
      </c>
      <c r="J126" s="62">
        <f t="shared" ref="E126:AC134" si="3">IFERROR((J33-J32)/J32,0)</f>
        <v>2.1952628538417167E-2</v>
      </c>
      <c r="K126" s="62">
        <f t="shared" si="3"/>
        <v>1.1370436864153236E-2</v>
      </c>
      <c r="L126" s="62">
        <f t="shared" si="3"/>
        <v>4.9916805324458757E-3</v>
      </c>
      <c r="M126" s="62">
        <f t="shared" si="3"/>
        <v>1.7893660531697341E-2</v>
      </c>
      <c r="N126" s="62">
        <f t="shared" si="3"/>
        <v>3.4324942791761686E-3</v>
      </c>
      <c r="O126" s="62">
        <f t="shared" si="3"/>
        <v>4.3478260869565834E-3</v>
      </c>
      <c r="P126" s="62">
        <f t="shared" si="3"/>
        <v>9.2006900517538487E-3</v>
      </c>
      <c r="Q126" s="62">
        <f t="shared" si="3"/>
        <v>4.1300980898296927E-3</v>
      </c>
      <c r="R126" s="62">
        <f t="shared" si="3"/>
        <v>8.1877729257641921E-3</v>
      </c>
      <c r="S126" s="62">
        <f t="shared" si="3"/>
        <v>8.8057237204183982E-3</v>
      </c>
      <c r="T126" s="62">
        <f t="shared" si="3"/>
        <v>8.1967213114754103E-3</v>
      </c>
      <c r="U126" s="62">
        <f t="shared" si="3"/>
        <v>0</v>
      </c>
      <c r="V126" s="62">
        <f t="shared" si="3"/>
        <v>3.3500837520937707E-3</v>
      </c>
      <c r="W126" s="62">
        <f t="shared" si="3"/>
        <v>7.5449796865930518E-3</v>
      </c>
      <c r="X126" s="62">
        <f t="shared" si="3"/>
        <v>4.4593088071347986E-3</v>
      </c>
      <c r="Y126" s="62">
        <f t="shared" si="3"/>
        <v>1.8007202881153144E-3</v>
      </c>
      <c r="Z126" s="62">
        <f t="shared" si="3"/>
        <v>4.1346721795628384E-3</v>
      </c>
      <c r="AA126" s="62">
        <f t="shared" si="3"/>
        <v>2.845759817871372E-3</v>
      </c>
      <c r="AB126" s="62">
        <f t="shared" si="3"/>
        <v>-1.7533606078315779E-3</v>
      </c>
      <c r="AC126" s="63">
        <f t="shared" si="3"/>
        <v>2.8968713789107765E-3</v>
      </c>
      <c r="AD126" s="39"/>
    </row>
    <row r="127" spans="1:30" x14ac:dyDescent="0.25">
      <c r="A127" s="52" t="s">
        <v>30</v>
      </c>
      <c r="B127" s="2">
        <v>2022</v>
      </c>
      <c r="C127" s="2" t="s">
        <v>43</v>
      </c>
      <c r="D127" s="62">
        <f t="shared" si="1"/>
        <v>1.1049723756905973E-2</v>
      </c>
      <c r="E127" s="62">
        <f t="shared" si="3"/>
        <v>1.0159651669085742E-2</v>
      </c>
      <c r="F127" s="62">
        <f t="shared" si="3"/>
        <v>7.6923076923077595E-3</v>
      </c>
      <c r="G127" s="62">
        <f t="shared" si="3"/>
        <v>8.2595870206490004E-3</v>
      </c>
      <c r="H127" s="62">
        <f t="shared" si="3"/>
        <v>-1.2879958784131892E-2</v>
      </c>
      <c r="I127" s="62">
        <f t="shared" si="3"/>
        <v>-1.1578305911029894E-2</v>
      </c>
      <c r="J127" s="62">
        <f t="shared" si="3"/>
        <v>4.4657998869417778E-2</v>
      </c>
      <c r="K127" s="62">
        <f t="shared" si="3"/>
        <v>4.1420118343194591E-3</v>
      </c>
      <c r="L127" s="62">
        <f t="shared" si="3"/>
        <v>2.4834437086092482E-3</v>
      </c>
      <c r="M127" s="62">
        <f t="shared" si="3"/>
        <v>1.2556504269211451E-2</v>
      </c>
      <c r="N127" s="62">
        <f t="shared" si="3"/>
        <v>2.2805017103763149E-3</v>
      </c>
      <c r="O127" s="62">
        <f t="shared" si="3"/>
        <v>4.3290043290042362E-3</v>
      </c>
      <c r="P127" s="62">
        <f t="shared" si="3"/>
        <v>1.0826210826210859E-2</v>
      </c>
      <c r="Q127" s="62">
        <f t="shared" si="3"/>
        <v>2.0565552699229085E-3</v>
      </c>
      <c r="R127" s="62">
        <f t="shared" si="3"/>
        <v>7.5798592311857376E-3</v>
      </c>
      <c r="S127" s="62">
        <f t="shared" si="3"/>
        <v>6.0010911074740549E-3</v>
      </c>
      <c r="T127" s="62">
        <f t="shared" si="3"/>
        <v>7.5880758807588388E-3</v>
      </c>
      <c r="U127" s="62">
        <f t="shared" si="3"/>
        <v>0</v>
      </c>
      <c r="V127" s="62">
        <f t="shared" si="3"/>
        <v>6.1213132999444787E-3</v>
      </c>
      <c r="W127" s="62">
        <f t="shared" si="3"/>
        <v>4.608294930875642E-3</v>
      </c>
      <c r="X127" s="62">
        <f t="shared" si="3"/>
        <v>5.5493895671476145E-3</v>
      </c>
      <c r="Y127" s="62">
        <f t="shared" si="3"/>
        <v>2.9958058717795086E-3</v>
      </c>
      <c r="Z127" s="62">
        <f t="shared" si="3"/>
        <v>3.5294117647058491E-3</v>
      </c>
      <c r="AA127" s="62">
        <f t="shared" si="3"/>
        <v>1.7026106696935947E-3</v>
      </c>
      <c r="AB127" s="62">
        <f t="shared" si="3"/>
        <v>7.0257611241217131E-3</v>
      </c>
      <c r="AC127" s="63">
        <f t="shared" si="3"/>
        <v>4.6216060080878762E-3</v>
      </c>
      <c r="AD127" s="39"/>
    </row>
    <row r="128" spans="1:30" x14ac:dyDescent="0.25">
      <c r="A128" s="52" t="s">
        <v>30</v>
      </c>
      <c r="B128" s="2">
        <v>2022</v>
      </c>
      <c r="C128" s="2" t="s">
        <v>45</v>
      </c>
      <c r="D128" s="62">
        <f t="shared" si="1"/>
        <v>1.3357619914997069E-2</v>
      </c>
      <c r="E128" s="62">
        <f t="shared" si="3"/>
        <v>-7.6628352490422545E-3</v>
      </c>
      <c r="F128" s="62">
        <f t="shared" si="3"/>
        <v>5.8132706987668682E-2</v>
      </c>
      <c r="G128" s="62">
        <f t="shared" si="3"/>
        <v>8.1919251023990971E-3</v>
      </c>
      <c r="H128" s="62">
        <f t="shared" si="3"/>
        <v>1.2526096033402953E-2</v>
      </c>
      <c r="I128" s="62">
        <f t="shared" si="3"/>
        <v>-1.9112207151664579E-2</v>
      </c>
      <c r="J128" s="62">
        <f t="shared" si="3"/>
        <v>-7.1428571428571522E-2</v>
      </c>
      <c r="K128" s="62">
        <f t="shared" si="3"/>
        <v>2.9463759575721863E-3</v>
      </c>
      <c r="L128" s="62">
        <f t="shared" si="3"/>
        <v>3.3030553261767606E-3</v>
      </c>
      <c r="M128" s="62">
        <f t="shared" si="3"/>
        <v>1.5873015873015959E-2</v>
      </c>
      <c r="N128" s="62">
        <f t="shared" si="3"/>
        <v>3.412969283276418E-3</v>
      </c>
      <c r="O128" s="62">
        <f t="shared" si="3"/>
        <v>7.0043103448276479E-3</v>
      </c>
      <c r="P128" s="62">
        <f t="shared" si="3"/>
        <v>-4.5095828635851824E-3</v>
      </c>
      <c r="Q128" s="62">
        <f t="shared" si="3"/>
        <v>3.0785017957926848E-3</v>
      </c>
      <c r="R128" s="62">
        <f t="shared" si="3"/>
        <v>5.9108006448145853E-3</v>
      </c>
      <c r="S128" s="62">
        <f t="shared" si="3"/>
        <v>4.3383947939261546E-3</v>
      </c>
      <c r="T128" s="62">
        <f t="shared" si="3"/>
        <v>5.3792361484669175E-3</v>
      </c>
      <c r="U128" s="62">
        <f t="shared" si="3"/>
        <v>0</v>
      </c>
      <c r="V128" s="62">
        <f t="shared" si="3"/>
        <v>6.0840707964601448E-3</v>
      </c>
      <c r="W128" s="62">
        <f t="shared" si="3"/>
        <v>6.3073394495412518E-3</v>
      </c>
      <c r="X128" s="62">
        <f t="shared" si="3"/>
        <v>6.070640176600567E-3</v>
      </c>
      <c r="Y128" s="62">
        <f t="shared" si="3"/>
        <v>5.9737156511346663E-4</v>
      </c>
      <c r="Z128" s="62">
        <f t="shared" si="3"/>
        <v>1.1723329425557859E-3</v>
      </c>
      <c r="AA128" s="62">
        <f t="shared" si="3"/>
        <v>2.2662889518413921E-3</v>
      </c>
      <c r="AB128" s="62">
        <f t="shared" si="3"/>
        <v>8.1395348837209631E-3</v>
      </c>
      <c r="AC128" s="63">
        <f t="shared" si="3"/>
        <v>4.0253018976422576E-3</v>
      </c>
      <c r="AD128" s="39"/>
    </row>
    <row r="129" spans="1:30" x14ac:dyDescent="0.25">
      <c r="A129" s="52" t="s">
        <v>30</v>
      </c>
      <c r="B129" s="2">
        <v>2022</v>
      </c>
      <c r="C129" s="2" t="s">
        <v>46</v>
      </c>
      <c r="D129" s="62">
        <f t="shared" si="1"/>
        <v>1.1384062312762167E-2</v>
      </c>
      <c r="E129" s="62">
        <f t="shared" si="3"/>
        <v>-1.4478764478763656E-3</v>
      </c>
      <c r="F129" s="62">
        <f t="shared" si="3"/>
        <v>4.9389567147613798E-2</v>
      </c>
      <c r="G129" s="62">
        <f t="shared" si="3"/>
        <v>6.3842135809634021E-3</v>
      </c>
      <c r="H129" s="62">
        <f t="shared" si="3"/>
        <v>-5.1546391752574393E-4</v>
      </c>
      <c r="I129" s="62">
        <f t="shared" si="3"/>
        <v>-1.5084852294154657E-2</v>
      </c>
      <c r="J129" s="62">
        <f t="shared" si="3"/>
        <v>-0.12470862470862475</v>
      </c>
      <c r="K129" s="62">
        <f t="shared" si="3"/>
        <v>1.7626321974148729E-3</v>
      </c>
      <c r="L129" s="62">
        <f t="shared" si="3"/>
        <v>-2.4691358024691123E-3</v>
      </c>
      <c r="M129" s="62">
        <f t="shared" si="3"/>
        <v>1.3183593749999944E-2</v>
      </c>
      <c r="N129" s="62">
        <f t="shared" si="3"/>
        <v>2.2675736961451569E-3</v>
      </c>
      <c r="O129" s="62">
        <f t="shared" si="3"/>
        <v>4.2803638309255373E-3</v>
      </c>
      <c r="P129" s="62">
        <f t="shared" si="3"/>
        <v>-1.2457531143827796E-2</v>
      </c>
      <c r="Q129" s="62">
        <f t="shared" si="3"/>
        <v>2.0460358056266273E-3</v>
      </c>
      <c r="R129" s="62">
        <f t="shared" si="3"/>
        <v>4.8076923076923383E-3</v>
      </c>
      <c r="S129" s="62">
        <f t="shared" si="3"/>
        <v>3.7796976241901573E-3</v>
      </c>
      <c r="T129" s="62">
        <f t="shared" si="3"/>
        <v>4.8154093097913624E-3</v>
      </c>
      <c r="U129" s="62">
        <f t="shared" si="3"/>
        <v>0</v>
      </c>
      <c r="V129" s="62">
        <f t="shared" si="3"/>
        <v>4.9477735019241654E-3</v>
      </c>
      <c r="W129" s="62">
        <f t="shared" si="3"/>
        <v>5.1282051282051603E-3</v>
      </c>
      <c r="X129" s="62">
        <f t="shared" si="3"/>
        <v>6.5825562260010346E-3</v>
      </c>
      <c r="Y129" s="62">
        <f t="shared" si="3"/>
        <v>1.7910447761194709E-3</v>
      </c>
      <c r="Z129" s="62">
        <f t="shared" si="3"/>
        <v>2.3419203747071268E-3</v>
      </c>
      <c r="AA129" s="62">
        <f t="shared" si="3"/>
        <v>2.2611644997173864E-3</v>
      </c>
      <c r="AB129" s="62">
        <f t="shared" si="3"/>
        <v>1.32641291810841E-2</v>
      </c>
      <c r="AC129" s="63">
        <f t="shared" si="3"/>
        <v>5.1546391752577648E-3</v>
      </c>
      <c r="AD129" s="39"/>
    </row>
    <row r="130" spans="1:30" x14ac:dyDescent="0.25">
      <c r="A130" s="52" t="s">
        <v>30</v>
      </c>
      <c r="B130" s="2">
        <v>2023</v>
      </c>
      <c r="C130" s="2" t="s">
        <v>31</v>
      </c>
      <c r="D130" s="62">
        <f t="shared" si="1"/>
        <v>3.0805687203791399E-2</v>
      </c>
      <c r="E130" s="62">
        <f t="shared" si="3"/>
        <v>6.7665538907685143E-3</v>
      </c>
      <c r="F130" s="62">
        <f t="shared" si="3"/>
        <v>2.009518773135913E-2</v>
      </c>
      <c r="G130" s="62">
        <f t="shared" si="3"/>
        <v>5.1903114186851538E-3</v>
      </c>
      <c r="H130" s="62">
        <f t="shared" si="3"/>
        <v>-6.7044868488912394E-3</v>
      </c>
      <c r="I130" s="62">
        <f t="shared" si="3"/>
        <v>-2.5526483726865173E-3</v>
      </c>
      <c r="J130" s="62">
        <f t="shared" si="3"/>
        <v>-4.8601864181091768E-2</v>
      </c>
      <c r="K130" s="62">
        <f t="shared" si="3"/>
        <v>1.173020527859171E-3</v>
      </c>
      <c r="L130" s="62">
        <f t="shared" si="3"/>
        <v>-7.4257425742574722E-3</v>
      </c>
      <c r="M130" s="62">
        <f t="shared" si="3"/>
        <v>1.4457831325301205E-2</v>
      </c>
      <c r="N130" s="62">
        <f t="shared" si="3"/>
        <v>5.6561085972847464E-4</v>
      </c>
      <c r="O130" s="62">
        <f t="shared" si="3"/>
        <v>4.2621204049014989E-3</v>
      </c>
      <c r="P130" s="62">
        <f t="shared" si="3"/>
        <v>3.4403669724770315E-3</v>
      </c>
      <c r="Q130" s="62">
        <f t="shared" si="3"/>
        <v>5.1046452271567124E-3</v>
      </c>
      <c r="R130" s="62">
        <f t="shared" si="3"/>
        <v>4.7846889952153412E-3</v>
      </c>
      <c r="S130" s="62">
        <f t="shared" si="3"/>
        <v>2.1516944593867977E-3</v>
      </c>
      <c r="T130" s="62">
        <f t="shared" si="3"/>
        <v>4.2598509052182267E-3</v>
      </c>
      <c r="U130" s="62">
        <f t="shared" si="3"/>
        <v>0</v>
      </c>
      <c r="V130" s="62">
        <f t="shared" si="3"/>
        <v>2.1881838074397004E-3</v>
      </c>
      <c r="W130" s="62">
        <f t="shared" si="3"/>
        <v>4.5351473922901524E-3</v>
      </c>
      <c r="X130" s="62">
        <f t="shared" si="3"/>
        <v>6.539509536784679E-3</v>
      </c>
      <c r="Y130" s="62">
        <f t="shared" si="3"/>
        <v>2.3837902264599357E-3</v>
      </c>
      <c r="Z130" s="62">
        <f t="shared" si="3"/>
        <v>3.5046728971963948E-3</v>
      </c>
      <c r="AA130" s="62">
        <f t="shared" si="3"/>
        <v>2.8200789622109417E-3</v>
      </c>
      <c r="AB130" s="62">
        <f t="shared" si="3"/>
        <v>1.5367103016505505E-2</v>
      </c>
      <c r="AC130" s="63">
        <f t="shared" si="3"/>
        <v>5.6980056980056983E-3</v>
      </c>
      <c r="AD130" s="39"/>
    </row>
    <row r="131" spans="1:30" x14ac:dyDescent="0.25">
      <c r="A131" s="52" t="s">
        <v>30</v>
      </c>
      <c r="B131" s="2">
        <v>2023</v>
      </c>
      <c r="C131" s="2" t="s">
        <v>35</v>
      </c>
      <c r="D131" s="62">
        <f t="shared" si="1"/>
        <v>1.1494252873562566E-3</v>
      </c>
      <c r="E131" s="62">
        <f t="shared" si="3"/>
        <v>-1.4882381180989066E-2</v>
      </c>
      <c r="F131" s="62">
        <f t="shared" si="3"/>
        <v>-9.8496630378434424E-2</v>
      </c>
      <c r="G131" s="62">
        <f t="shared" si="3"/>
        <v>1.5490533562822654E-2</v>
      </c>
      <c r="H131" s="62">
        <f t="shared" si="3"/>
        <v>-4.7767393561786026E-2</v>
      </c>
      <c r="I131" s="62">
        <f t="shared" si="3"/>
        <v>6.973768394113869E-2</v>
      </c>
      <c r="J131" s="62">
        <f t="shared" si="3"/>
        <v>-1.3995801259622112E-2</v>
      </c>
      <c r="K131" s="62">
        <f t="shared" si="3"/>
        <v>-1.7574692442881251E-3</v>
      </c>
      <c r="L131" s="62">
        <f t="shared" si="3"/>
        <v>-9.9750623441396749E-3</v>
      </c>
      <c r="M131" s="62">
        <f t="shared" si="3"/>
        <v>7.6009501187648187E-3</v>
      </c>
      <c r="N131" s="62">
        <f t="shared" si="3"/>
        <v>3.9570378745053059E-3</v>
      </c>
      <c r="O131" s="62">
        <f t="shared" si="3"/>
        <v>7.4270557029178022E-3</v>
      </c>
      <c r="P131" s="62">
        <f t="shared" si="3"/>
        <v>-1.1428571428570779E-3</v>
      </c>
      <c r="Q131" s="62">
        <f t="shared" si="3"/>
        <v>7.1102082275266917E-3</v>
      </c>
      <c r="R131" s="62">
        <f t="shared" si="3"/>
        <v>5.2910052910052907E-3</v>
      </c>
      <c r="S131" s="62">
        <f t="shared" si="3"/>
        <v>3.7573805689747105E-3</v>
      </c>
      <c r="T131" s="62">
        <f t="shared" si="3"/>
        <v>5.3022269353128317E-3</v>
      </c>
      <c r="U131" s="62">
        <f t="shared" si="3"/>
        <v>0</v>
      </c>
      <c r="V131" s="62">
        <f t="shared" si="3"/>
        <v>-8.7336244541484417E-3</v>
      </c>
      <c r="W131" s="62">
        <f t="shared" si="3"/>
        <v>7.9006772009029679E-3</v>
      </c>
      <c r="X131" s="62">
        <f t="shared" si="3"/>
        <v>1.0286951813752061E-2</v>
      </c>
      <c r="Y131" s="62">
        <f t="shared" si="3"/>
        <v>4.756242568371055E-3</v>
      </c>
      <c r="Z131" s="62">
        <f t="shared" si="3"/>
        <v>5.8207217694994174E-3</v>
      </c>
      <c r="AA131" s="62">
        <f t="shared" si="3"/>
        <v>3.9370078740156838E-3</v>
      </c>
      <c r="AB131" s="62">
        <f t="shared" si="3"/>
        <v>1.2892376681614253E-2</v>
      </c>
      <c r="AC131" s="63">
        <f t="shared" si="3"/>
        <v>7.932011331444791E-3</v>
      </c>
      <c r="AD131" s="39"/>
    </row>
    <row r="132" spans="1:30" x14ac:dyDescent="0.25">
      <c r="A132" s="52" t="s">
        <v>30</v>
      </c>
      <c r="B132" s="2">
        <v>2023</v>
      </c>
      <c r="C132" s="2" t="s">
        <v>36</v>
      </c>
      <c r="D132" s="62">
        <f t="shared" si="1"/>
        <v>5.7405281285891356E-4</v>
      </c>
      <c r="E132" s="62">
        <f t="shared" si="3"/>
        <v>0</v>
      </c>
      <c r="F132" s="62">
        <f t="shared" si="3"/>
        <v>0</v>
      </c>
      <c r="G132" s="62">
        <f t="shared" si="3"/>
        <v>0</v>
      </c>
      <c r="H132" s="62">
        <f t="shared" si="3"/>
        <v>-5.4525627044707916E-4</v>
      </c>
      <c r="I132" s="62">
        <f t="shared" si="3"/>
        <v>0</v>
      </c>
      <c r="J132" s="62">
        <f t="shared" si="3"/>
        <v>0</v>
      </c>
      <c r="K132" s="62">
        <f t="shared" si="3"/>
        <v>5.8685446009386333E-4</v>
      </c>
      <c r="L132" s="62">
        <f t="shared" si="3"/>
        <v>0</v>
      </c>
      <c r="M132" s="62">
        <f t="shared" si="3"/>
        <v>0</v>
      </c>
      <c r="N132" s="62">
        <f t="shared" si="3"/>
        <v>0</v>
      </c>
      <c r="O132" s="62">
        <f t="shared" si="3"/>
        <v>0</v>
      </c>
      <c r="P132" s="62">
        <f t="shared" si="3"/>
        <v>0</v>
      </c>
      <c r="Q132" s="62">
        <f t="shared" si="3"/>
        <v>5.0428643469487802E-4</v>
      </c>
      <c r="R132" s="62">
        <f t="shared" si="3"/>
        <v>0</v>
      </c>
      <c r="S132" s="62">
        <f t="shared" si="3"/>
        <v>0</v>
      </c>
      <c r="T132" s="62">
        <f t="shared" si="3"/>
        <v>0</v>
      </c>
      <c r="U132" s="62">
        <f t="shared" si="3"/>
        <v>0</v>
      </c>
      <c r="V132" s="62">
        <f t="shared" si="3"/>
        <v>-1.1013215859030211E-3</v>
      </c>
      <c r="W132" s="62">
        <f t="shared" si="3"/>
        <v>0</v>
      </c>
      <c r="X132" s="62">
        <f t="shared" si="3"/>
        <v>0</v>
      </c>
      <c r="Y132" s="62">
        <f t="shared" si="3"/>
        <v>0</v>
      </c>
      <c r="Z132" s="62">
        <f t="shared" si="3"/>
        <v>0</v>
      </c>
      <c r="AA132" s="62">
        <f t="shared" si="3"/>
        <v>0</v>
      </c>
      <c r="AB132" s="62">
        <f t="shared" si="3"/>
        <v>0</v>
      </c>
      <c r="AC132" s="63">
        <f t="shared" si="3"/>
        <v>0</v>
      </c>
      <c r="AD132" s="39"/>
    </row>
    <row r="133" spans="1:30" x14ac:dyDescent="0.25">
      <c r="A133" s="52" t="s">
        <v>30</v>
      </c>
      <c r="B133" s="2">
        <v>2023</v>
      </c>
      <c r="C133" s="2" t="s">
        <v>37</v>
      </c>
      <c r="D133" s="62">
        <f t="shared" si="1"/>
        <v>-5.737234652897303E-3</v>
      </c>
      <c r="E133" s="62">
        <f t="shared" si="3"/>
        <v>8.2846003898636306E-3</v>
      </c>
      <c r="F133" s="62">
        <f t="shared" si="3"/>
        <v>-3.4502587694077054E-2</v>
      </c>
      <c r="G133" s="62">
        <f t="shared" si="3"/>
        <v>6.7796610169490882E-3</v>
      </c>
      <c r="H133" s="62">
        <f t="shared" si="3"/>
        <v>-2.61865793780688E-2</v>
      </c>
      <c r="I133" s="62">
        <f t="shared" si="3"/>
        <v>3.8875598086124404E-2</v>
      </c>
      <c r="J133" s="62">
        <f t="shared" si="3"/>
        <v>1.3484740951029138E-2</v>
      </c>
      <c r="K133" s="62">
        <f t="shared" si="3"/>
        <v>1.3489736070381298E-2</v>
      </c>
      <c r="L133" s="62">
        <f t="shared" si="3"/>
        <v>1.0915197313182296E-2</v>
      </c>
      <c r="M133" s="62">
        <f t="shared" si="3"/>
        <v>1.6030174446016059E-2</v>
      </c>
      <c r="N133" s="62">
        <f t="shared" si="3"/>
        <v>3.3783783783783465E-3</v>
      </c>
      <c r="O133" s="62">
        <f t="shared" si="3"/>
        <v>3.1595576619273002E-3</v>
      </c>
      <c r="P133" s="62">
        <f t="shared" si="3"/>
        <v>4.0045766590388367E-3</v>
      </c>
      <c r="Q133" s="62">
        <f t="shared" si="3"/>
        <v>5.5443548387096482E-3</v>
      </c>
      <c r="R133" s="62">
        <f t="shared" si="3"/>
        <v>3.6842105263157295E-3</v>
      </c>
      <c r="S133" s="62">
        <f t="shared" si="3"/>
        <v>1.6042780748663709E-3</v>
      </c>
      <c r="T133" s="62">
        <f t="shared" si="3"/>
        <v>3.1645569620252865E-3</v>
      </c>
      <c r="U133" s="62">
        <f t="shared" si="3"/>
        <v>0</v>
      </c>
      <c r="V133" s="62">
        <f t="shared" si="3"/>
        <v>5.5126791620724541E-4</v>
      </c>
      <c r="W133" s="62">
        <f t="shared" si="3"/>
        <v>2.7995520716685329E-3</v>
      </c>
      <c r="X133" s="62">
        <f t="shared" si="3"/>
        <v>3.2154340836012558E-3</v>
      </c>
      <c r="Y133" s="62">
        <f t="shared" si="3"/>
        <v>2.3668639053254772E-3</v>
      </c>
      <c r="Z133" s="62">
        <f t="shared" si="3"/>
        <v>2.3148148148146833E-3</v>
      </c>
      <c r="AA133" s="62">
        <f t="shared" si="3"/>
        <v>5.0420168067227206E-3</v>
      </c>
      <c r="AB133" s="62">
        <f t="shared" si="3"/>
        <v>1.7155506364139584E-2</v>
      </c>
      <c r="AC133" s="63">
        <f t="shared" si="3"/>
        <v>5.6211354693648111E-3</v>
      </c>
      <c r="AD133" s="39"/>
    </row>
    <row r="134" spans="1:30" x14ac:dyDescent="0.25">
      <c r="A134" s="52" t="s">
        <v>30</v>
      </c>
      <c r="B134" s="2">
        <v>2023</v>
      </c>
      <c r="C134" s="2" t="s">
        <v>38</v>
      </c>
      <c r="D134" s="62">
        <f t="shared" si="1"/>
        <v>-5.7703404500878666E-4</v>
      </c>
      <c r="E134" s="62">
        <f t="shared" si="3"/>
        <v>2.2232962783953574E-2</v>
      </c>
      <c r="F134" s="62">
        <f t="shared" si="3"/>
        <v>1.8463371054198895E-2</v>
      </c>
      <c r="G134" s="62">
        <f t="shared" si="3"/>
        <v>7.8563411896745549E-3</v>
      </c>
      <c r="H134" s="62">
        <f t="shared" si="3"/>
        <v>-2.913165266106436E-2</v>
      </c>
      <c r="I134" s="62">
        <f t="shared" si="3"/>
        <v>-2.7058146229130622E-2</v>
      </c>
      <c r="J134" s="62">
        <f t="shared" si="3"/>
        <v>4.1316526610644097E-2</v>
      </c>
      <c r="K134" s="62">
        <f t="shared" si="3"/>
        <v>1.2152777777777743E-2</v>
      </c>
      <c r="L134" s="62">
        <f t="shared" si="3"/>
        <v>1.2458471760797342E-2</v>
      </c>
      <c r="M134" s="62">
        <f t="shared" si="3"/>
        <v>2.5522041763341066E-2</v>
      </c>
      <c r="N134" s="62">
        <f t="shared" si="3"/>
        <v>2.8058361391694727E-3</v>
      </c>
      <c r="O134" s="62">
        <f t="shared" si="3"/>
        <v>3.1496062992125685E-3</v>
      </c>
      <c r="P134" s="62">
        <f t="shared" si="3"/>
        <v>7.4074074074074719E-3</v>
      </c>
      <c r="Q134" s="62">
        <f t="shared" si="3"/>
        <v>2.0050125313283494E-3</v>
      </c>
      <c r="R134" s="62">
        <f t="shared" si="3"/>
        <v>2.6219192448872575E-3</v>
      </c>
      <c r="S134" s="62">
        <f t="shared" si="3"/>
        <v>3.2034169781099534E-3</v>
      </c>
      <c r="T134" s="62">
        <f t="shared" si="3"/>
        <v>3.1545741324922332E-3</v>
      </c>
      <c r="U134" s="62">
        <f t="shared" si="3"/>
        <v>0</v>
      </c>
      <c r="V134" s="62">
        <f t="shared" si="3"/>
        <v>5.5096418732782371E-3</v>
      </c>
      <c r="W134" s="62">
        <f t="shared" si="3"/>
        <v>3.9084310441095315E-3</v>
      </c>
      <c r="X134" s="62">
        <f t="shared" si="3"/>
        <v>3.2051282051283269E-3</v>
      </c>
      <c r="Y134" s="62">
        <f t="shared" si="3"/>
        <v>1.7709563164107611E-3</v>
      </c>
      <c r="Z134" s="62">
        <f t="shared" si="3"/>
        <v>3.4642032332564826E-3</v>
      </c>
      <c r="AA134" s="62">
        <f t="shared" si="3"/>
        <v>5.0167224080267872E-3</v>
      </c>
      <c r="AB134" s="62">
        <f t="shared" si="3"/>
        <v>5.9847660500543754E-3</v>
      </c>
      <c r="AC134" s="63">
        <f t="shared" si="3"/>
        <v>3.3538289547232771E-3</v>
      </c>
      <c r="AD134" s="39"/>
    </row>
    <row r="135" spans="1:30" x14ac:dyDescent="0.25">
      <c r="A135" s="52" t="s">
        <v>34</v>
      </c>
      <c r="B135" s="2">
        <v>2021</v>
      </c>
      <c r="C135" s="2" t="s">
        <v>31</v>
      </c>
      <c r="D135" s="62">
        <f t="shared" ref="D135:AC135" si="4">IFERROR((D43-D42)/D42,0)</f>
        <v>-7.534246575342427E-3</v>
      </c>
      <c r="E135" s="62">
        <f t="shared" si="4"/>
        <v>-4.7120418848167834E-3</v>
      </c>
      <c r="F135" s="62">
        <f t="shared" si="4"/>
        <v>0</v>
      </c>
      <c r="G135" s="62">
        <f t="shared" si="4"/>
        <v>0</v>
      </c>
      <c r="H135" s="62">
        <f t="shared" si="4"/>
        <v>2.9331514324693123E-2</v>
      </c>
      <c r="I135" s="62">
        <f t="shared" si="4"/>
        <v>1.2863913337847026E-2</v>
      </c>
      <c r="J135" s="62">
        <f t="shared" si="4"/>
        <v>-0.15748373101952282</v>
      </c>
      <c r="K135" s="62">
        <f t="shared" si="4"/>
        <v>1.2484394506867482E-3</v>
      </c>
      <c r="L135" s="62">
        <f t="shared" si="4"/>
        <v>-6.0711188204683681E-3</v>
      </c>
      <c r="M135" s="62">
        <f t="shared" si="4"/>
        <v>6.1349693251533744E-3</v>
      </c>
      <c r="N135" s="62">
        <f t="shared" si="4"/>
        <v>1.7426273458445194E-2</v>
      </c>
      <c r="O135" s="62">
        <f t="shared" si="4"/>
        <v>4.8543689320387313E-3</v>
      </c>
      <c r="P135" s="62">
        <f t="shared" si="4"/>
        <v>-2.6602176541717083E-2</v>
      </c>
      <c r="Q135" s="62">
        <f t="shared" si="4"/>
        <v>5.9331175836029896E-3</v>
      </c>
      <c r="R135" s="62">
        <f t="shared" si="4"/>
        <v>3.2258064516129032E-3</v>
      </c>
      <c r="S135" s="62">
        <f t="shared" si="4"/>
        <v>4.8143053645116132E-3</v>
      </c>
      <c r="T135" s="62">
        <f t="shared" si="4"/>
        <v>3.9062499999999631E-3</v>
      </c>
      <c r="U135" s="62">
        <f t="shared" si="4"/>
        <v>-4.4191919191920266E-3</v>
      </c>
      <c r="V135" s="62">
        <f t="shared" si="4"/>
        <v>2.2821576763485556E-2</v>
      </c>
      <c r="W135" s="62">
        <f t="shared" si="4"/>
        <v>2.0040080160321403E-3</v>
      </c>
      <c r="X135" s="62">
        <f t="shared" si="4"/>
        <v>6.3171193935565376E-3</v>
      </c>
      <c r="Y135" s="62">
        <f t="shared" si="4"/>
        <v>8.5287846481877545E-3</v>
      </c>
      <c r="Z135" s="62">
        <f t="shared" si="4"/>
        <v>7.4074074074073695E-3</v>
      </c>
      <c r="AA135" s="62">
        <f t="shared" si="4"/>
        <v>-1.2547051442911986E-3</v>
      </c>
      <c r="AB135" s="62">
        <f t="shared" si="4"/>
        <v>-1.9096117122850602E-3</v>
      </c>
      <c r="AC135" s="63">
        <f t="shared" si="4"/>
        <v>4.629629629629743E-3</v>
      </c>
      <c r="AD135" s="39"/>
    </row>
    <row r="136" spans="1:30" x14ac:dyDescent="0.25">
      <c r="A136" s="52" t="s">
        <v>34</v>
      </c>
      <c r="B136" s="2">
        <v>2021</v>
      </c>
      <c r="C136" s="2" t="s">
        <v>35</v>
      </c>
      <c r="D136" s="62">
        <f t="shared" ref="D136:AC136" si="5">IFERROR((D44-D43)/D43,0)</f>
        <v>-4.1407867494823621E-3</v>
      </c>
      <c r="E136" s="62">
        <f t="shared" si="5"/>
        <v>-1.8937401367701182E-2</v>
      </c>
      <c r="F136" s="62">
        <f t="shared" si="5"/>
        <v>-3.764974329720492E-2</v>
      </c>
      <c r="G136" s="62">
        <f t="shared" si="5"/>
        <v>3.893575600259535E-3</v>
      </c>
      <c r="H136" s="62">
        <f t="shared" si="5"/>
        <v>5.1689860834989942E-2</v>
      </c>
      <c r="I136" s="62">
        <f t="shared" si="5"/>
        <v>7.3529411764705508E-3</v>
      </c>
      <c r="J136" s="62">
        <f t="shared" si="5"/>
        <v>-0.17610710607621005</v>
      </c>
      <c r="K136" s="62">
        <f t="shared" si="5"/>
        <v>-9.9750623441396159E-3</v>
      </c>
      <c r="L136" s="62">
        <f t="shared" si="5"/>
        <v>-1.5706806282722488E-2</v>
      </c>
      <c r="M136" s="62">
        <f t="shared" si="5"/>
        <v>1.2195121951218818E-3</v>
      </c>
      <c r="N136" s="62">
        <f t="shared" si="5"/>
        <v>2.4374176548089516E-2</v>
      </c>
      <c r="O136" s="62">
        <f t="shared" si="5"/>
        <v>1.1473429951690857E-2</v>
      </c>
      <c r="P136" s="62">
        <f t="shared" si="5"/>
        <v>-2.5465838509316736E-2</v>
      </c>
      <c r="Q136" s="62">
        <f t="shared" si="5"/>
        <v>9.6514745308311604E-3</v>
      </c>
      <c r="R136" s="62">
        <f t="shared" si="5"/>
        <v>1.09324758842443E-2</v>
      </c>
      <c r="S136" s="62">
        <f t="shared" si="5"/>
        <v>8.8980150581794079E-3</v>
      </c>
      <c r="T136" s="62">
        <f t="shared" si="5"/>
        <v>1.0376134889753716E-2</v>
      </c>
      <c r="U136" s="62">
        <f t="shared" si="5"/>
        <v>1.331642358909336E-2</v>
      </c>
      <c r="V136" s="62">
        <f t="shared" si="5"/>
        <v>3.0425963488843813E-2</v>
      </c>
      <c r="W136" s="62">
        <f t="shared" si="5"/>
        <v>6.0000000000000383E-3</v>
      </c>
      <c r="X136" s="62">
        <f t="shared" si="5"/>
        <v>1.2554927809165096E-2</v>
      </c>
      <c r="Y136" s="62">
        <f t="shared" si="5"/>
        <v>2.2551092318534097E-2</v>
      </c>
      <c r="Z136" s="62">
        <f t="shared" si="5"/>
        <v>1.2700534759358327E-2</v>
      </c>
      <c r="AA136" s="62">
        <f t="shared" si="5"/>
        <v>1.8844221105528353E-3</v>
      </c>
      <c r="AB136" s="62">
        <f t="shared" si="5"/>
        <v>-6.3775510204081625E-3</v>
      </c>
      <c r="AC136" s="63">
        <f t="shared" si="5"/>
        <v>9.8749177090190904E-3</v>
      </c>
      <c r="AD136" s="39"/>
    </row>
    <row r="137" spans="1:30" x14ac:dyDescent="0.25">
      <c r="A137" s="52" t="s">
        <v>34</v>
      </c>
      <c r="B137" s="2">
        <v>2021</v>
      </c>
      <c r="C137" s="2" t="s">
        <v>36</v>
      </c>
      <c r="D137" s="62">
        <f t="shared" ref="D137:AC137" si="6">IFERROR((D45-D44)/D44,0)</f>
        <v>-1.386001386001504E-3</v>
      </c>
      <c r="E137" s="62">
        <f t="shared" si="6"/>
        <v>3.0563002680965085E-2</v>
      </c>
      <c r="F137" s="62">
        <f t="shared" si="6"/>
        <v>-2.9045643153526837E-2</v>
      </c>
      <c r="G137" s="62">
        <f t="shared" si="6"/>
        <v>1.2928248222366973E-3</v>
      </c>
      <c r="H137" s="62">
        <f t="shared" si="6"/>
        <v>3.2766225582860853E-2</v>
      </c>
      <c r="I137" s="62">
        <f t="shared" si="6"/>
        <v>1.9907100199071003E-2</v>
      </c>
      <c r="J137" s="62">
        <f t="shared" si="6"/>
        <v>-6.5625000000000003E-2</v>
      </c>
      <c r="K137" s="62">
        <f t="shared" si="6"/>
        <v>6.2972292191435762E-3</v>
      </c>
      <c r="L137" s="62">
        <f t="shared" si="6"/>
        <v>-1.7730496453900962E-3</v>
      </c>
      <c r="M137" s="62">
        <f t="shared" si="6"/>
        <v>-4.2630937880632682E-3</v>
      </c>
      <c r="N137" s="62">
        <f t="shared" si="6"/>
        <v>6.4308681672025723E-3</v>
      </c>
      <c r="O137" s="62">
        <f t="shared" si="6"/>
        <v>4.1791044776118723E-3</v>
      </c>
      <c r="P137" s="62">
        <f t="shared" si="6"/>
        <v>-1.2746972594010009E-3</v>
      </c>
      <c r="Q137" s="62">
        <f t="shared" si="6"/>
        <v>-1.0621348911312642E-3</v>
      </c>
      <c r="R137" s="62">
        <f t="shared" si="6"/>
        <v>3.8167938931299157E-3</v>
      </c>
      <c r="S137" s="62">
        <f t="shared" si="6"/>
        <v>3.3921302578018993E-3</v>
      </c>
      <c r="T137" s="62">
        <f t="shared" si="6"/>
        <v>3.8510911424903356E-3</v>
      </c>
      <c r="U137" s="62">
        <f t="shared" si="6"/>
        <v>6.2578222778469526E-4</v>
      </c>
      <c r="V137" s="62">
        <f t="shared" si="6"/>
        <v>2.0341207349081326E-2</v>
      </c>
      <c r="W137" s="62">
        <f t="shared" si="6"/>
        <v>1.9880715705764278E-3</v>
      </c>
      <c r="X137" s="62">
        <f t="shared" si="6"/>
        <v>2.4798512089273233E-3</v>
      </c>
      <c r="Y137" s="62">
        <f t="shared" si="6"/>
        <v>7.5809786354238068E-3</v>
      </c>
      <c r="Z137" s="62">
        <f t="shared" si="6"/>
        <v>7.2607260726072235E-3</v>
      </c>
      <c r="AA137" s="62">
        <f t="shared" si="6"/>
        <v>4.3887147335422488E-3</v>
      </c>
      <c r="AB137" s="62">
        <f t="shared" si="6"/>
        <v>-1.2836970474967907E-2</v>
      </c>
      <c r="AC137" s="63">
        <f t="shared" si="6"/>
        <v>2.6075619295958647E-3</v>
      </c>
      <c r="AD137" s="39"/>
    </row>
    <row r="138" spans="1:30" x14ac:dyDescent="0.25">
      <c r="A138" s="52" t="s">
        <v>34</v>
      </c>
      <c r="B138" s="2">
        <v>2021</v>
      </c>
      <c r="C138" s="2" t="s">
        <v>37</v>
      </c>
      <c r="D138" s="62">
        <f t="shared" ref="D138:AC138" si="7">IFERROR((D46-D45)/D45,0)</f>
        <v>1.3879250520473078E-3</v>
      </c>
      <c r="E138" s="62">
        <f t="shared" si="7"/>
        <v>3.0176899063475607E-2</v>
      </c>
      <c r="F138" s="62">
        <f t="shared" si="7"/>
        <v>4.8840048840047799E-3</v>
      </c>
      <c r="G138" s="62">
        <f t="shared" si="7"/>
        <v>3.2278889606197547E-3</v>
      </c>
      <c r="H138" s="62">
        <f t="shared" si="7"/>
        <v>3.7827943868212255E-2</v>
      </c>
      <c r="I138" s="62">
        <f t="shared" si="7"/>
        <v>6.9616135328562256E-2</v>
      </c>
      <c r="J138" s="62">
        <f t="shared" si="7"/>
        <v>-3.6120401337792679E-2</v>
      </c>
      <c r="K138" s="62">
        <f t="shared" si="7"/>
        <v>1.1889862327909744E-2</v>
      </c>
      <c r="L138" s="62">
        <f t="shared" si="7"/>
        <v>4.4404973357015992E-3</v>
      </c>
      <c r="M138" s="62">
        <f t="shared" si="7"/>
        <v>2.4464831804281695E-3</v>
      </c>
      <c r="N138" s="62">
        <f t="shared" si="7"/>
        <v>7.0287539936101876E-3</v>
      </c>
      <c r="O138" s="62">
        <f t="shared" si="7"/>
        <v>4.1617122473247151E-3</v>
      </c>
      <c r="P138" s="62">
        <f t="shared" si="7"/>
        <v>8.2961072112317253E-3</v>
      </c>
      <c r="Q138" s="62">
        <f t="shared" si="7"/>
        <v>3.7214247740564436E-3</v>
      </c>
      <c r="R138" s="62">
        <f t="shared" si="7"/>
        <v>6.3371356147021544E-3</v>
      </c>
      <c r="S138" s="62">
        <f t="shared" si="7"/>
        <v>4.0567951318458036E-3</v>
      </c>
      <c r="T138" s="62">
        <f t="shared" si="7"/>
        <v>5.7544757033248439E-3</v>
      </c>
      <c r="U138" s="62">
        <f t="shared" si="7"/>
        <v>9.3808630393996239E-3</v>
      </c>
      <c r="V138" s="62">
        <f t="shared" si="7"/>
        <v>6.4308681672022071E-4</v>
      </c>
      <c r="W138" s="62">
        <f t="shared" si="7"/>
        <v>3.968253968254119E-3</v>
      </c>
      <c r="X138" s="62">
        <f t="shared" si="7"/>
        <v>3.7105751391467087E-3</v>
      </c>
      <c r="Y138" s="62">
        <f t="shared" si="7"/>
        <v>2.7359781121751416E-3</v>
      </c>
      <c r="Z138" s="62">
        <f t="shared" si="7"/>
        <v>3.9318479685451794E-3</v>
      </c>
      <c r="AA138" s="62">
        <f t="shared" si="7"/>
        <v>6.2421972534346278E-4</v>
      </c>
      <c r="AB138" s="62">
        <f t="shared" si="7"/>
        <v>1.0403120936280846E-2</v>
      </c>
      <c r="AC138" s="63">
        <f t="shared" si="7"/>
        <v>3.9011703511052944E-3</v>
      </c>
      <c r="AD138" s="39"/>
    </row>
    <row r="139" spans="1:30" x14ac:dyDescent="0.25">
      <c r="A139" s="52" t="s">
        <v>34</v>
      </c>
      <c r="B139" s="2">
        <v>2021</v>
      </c>
      <c r="C139" s="2" t="s">
        <v>38</v>
      </c>
      <c r="D139" s="62">
        <f t="shared" ref="D139:AC139" si="8">IFERROR((D47-D46)/D46,0)</f>
        <v>1.386001386001386E-2</v>
      </c>
      <c r="E139" s="62">
        <f t="shared" si="8"/>
        <v>1.2626262626262626E-2</v>
      </c>
      <c r="F139" s="62">
        <f t="shared" si="8"/>
        <v>3.4629404617254056E-2</v>
      </c>
      <c r="G139" s="62">
        <f t="shared" si="8"/>
        <v>4.5045045045044316E-3</v>
      </c>
      <c r="H139" s="62">
        <f t="shared" si="8"/>
        <v>5.0558495002939415E-2</v>
      </c>
      <c r="I139" s="62">
        <f t="shared" si="8"/>
        <v>1.6423357664233508E-2</v>
      </c>
      <c r="J139" s="62">
        <f t="shared" si="8"/>
        <v>2.637057598889668E-2</v>
      </c>
      <c r="K139" s="62">
        <f t="shared" si="8"/>
        <v>2.2881880024737275E-2</v>
      </c>
      <c r="L139" s="62">
        <f t="shared" si="8"/>
        <v>1.503094606542885E-2</v>
      </c>
      <c r="M139" s="62">
        <f t="shared" si="8"/>
        <v>2.6235509456985863E-2</v>
      </c>
      <c r="N139" s="62">
        <f t="shared" si="8"/>
        <v>1.0786802030456961E-2</v>
      </c>
      <c r="O139" s="62">
        <f t="shared" si="8"/>
        <v>8.8809946714031966E-3</v>
      </c>
      <c r="P139" s="62">
        <f t="shared" si="8"/>
        <v>1.7088607594936637E-2</v>
      </c>
      <c r="Q139" s="62">
        <f t="shared" si="8"/>
        <v>1.6419491525423699E-2</v>
      </c>
      <c r="R139" s="62">
        <f t="shared" si="8"/>
        <v>1.8891687657430729E-2</v>
      </c>
      <c r="S139" s="62">
        <f t="shared" si="8"/>
        <v>2.4242424242424204E-2</v>
      </c>
      <c r="T139" s="62">
        <f t="shared" si="8"/>
        <v>1.9707565162110578E-2</v>
      </c>
      <c r="U139" s="62">
        <f t="shared" si="8"/>
        <v>1.2391573729862988E-3</v>
      </c>
      <c r="V139" s="62">
        <f t="shared" si="8"/>
        <v>2.4421593830334265E-2</v>
      </c>
      <c r="W139" s="62">
        <f t="shared" si="8"/>
        <v>1.9104084321475475E-2</v>
      </c>
      <c r="X139" s="62">
        <f t="shared" si="8"/>
        <v>2.1565003080714726E-2</v>
      </c>
      <c r="Y139" s="62">
        <f t="shared" si="8"/>
        <v>1.568894952251031E-2</v>
      </c>
      <c r="Z139" s="62">
        <f t="shared" si="8"/>
        <v>1.6971279373368297E-2</v>
      </c>
      <c r="AA139" s="62">
        <f t="shared" si="8"/>
        <v>5.6144728633810183E-3</v>
      </c>
      <c r="AB139" s="62">
        <f t="shared" si="8"/>
        <v>2.0592020592020518E-2</v>
      </c>
      <c r="AC139" s="63">
        <f t="shared" si="8"/>
        <v>1.5544041450777238E-2</v>
      </c>
      <c r="AD139" s="39"/>
    </row>
    <row r="140" spans="1:30" x14ac:dyDescent="0.25">
      <c r="A140" s="52" t="s">
        <v>34</v>
      </c>
      <c r="B140" s="2">
        <v>2021</v>
      </c>
      <c r="C140" s="2" t="s">
        <v>39</v>
      </c>
      <c r="D140" s="62">
        <f t="shared" ref="D140:AC140" si="9">IFERROR((D48-D47)/D47,0)</f>
        <v>2.7341079972657365E-3</v>
      </c>
      <c r="E140" s="62">
        <f t="shared" si="9"/>
        <v>7.481296758104738E-3</v>
      </c>
      <c r="F140" s="62">
        <f t="shared" si="9"/>
        <v>6.1068702290076202E-2</v>
      </c>
      <c r="G140" s="62">
        <f t="shared" si="9"/>
        <v>6.4061499039073878E-4</v>
      </c>
      <c r="H140" s="62">
        <f t="shared" si="9"/>
        <v>2.7979854504756579E-2</v>
      </c>
      <c r="I140" s="62">
        <f t="shared" si="9"/>
        <v>-1.4961101137043686E-2</v>
      </c>
      <c r="J140" s="62">
        <f t="shared" si="9"/>
        <v>5.0709939148073022E-2</v>
      </c>
      <c r="K140" s="62">
        <f t="shared" si="9"/>
        <v>3.6275695284159267E-3</v>
      </c>
      <c r="L140" s="62">
        <f t="shared" si="9"/>
        <v>2.6132404181184424E-3</v>
      </c>
      <c r="M140" s="62">
        <f t="shared" si="9"/>
        <v>1.7835909631391878E-3</v>
      </c>
      <c r="N140" s="62">
        <f t="shared" si="9"/>
        <v>4.394224733207712E-3</v>
      </c>
      <c r="O140" s="62">
        <f t="shared" si="9"/>
        <v>1.1737089201877934E-2</v>
      </c>
      <c r="P140" s="62">
        <f t="shared" si="9"/>
        <v>1.1823273179838244E-2</v>
      </c>
      <c r="Q140" s="62">
        <f t="shared" si="9"/>
        <v>-5.7321521625846496E-3</v>
      </c>
      <c r="R140" s="62">
        <f t="shared" si="9"/>
        <v>2.4721878862792165E-3</v>
      </c>
      <c r="S140" s="62">
        <f t="shared" si="9"/>
        <v>-1.9723865877710909E-3</v>
      </c>
      <c r="T140" s="62">
        <f t="shared" si="9"/>
        <v>1.8703241895260782E-3</v>
      </c>
      <c r="U140" s="62">
        <f t="shared" si="9"/>
        <v>-6.8069306930692722E-3</v>
      </c>
      <c r="V140" s="62">
        <f t="shared" si="9"/>
        <v>2.5094102885822186E-3</v>
      </c>
      <c r="W140" s="62">
        <f t="shared" si="9"/>
        <v>6.4641241111844047E-4</v>
      </c>
      <c r="X140" s="62">
        <f t="shared" si="9"/>
        <v>3.0156815440289505E-3</v>
      </c>
      <c r="Y140" s="62">
        <f t="shared" si="9"/>
        <v>1.2088650100738636E-2</v>
      </c>
      <c r="Z140" s="62">
        <f t="shared" si="9"/>
        <v>-5.7766367137355949E-3</v>
      </c>
      <c r="AA140" s="62">
        <f t="shared" si="9"/>
        <v>3.1017369727047149E-3</v>
      </c>
      <c r="AB140" s="62">
        <f t="shared" si="9"/>
        <v>1.2610340479194014E-3</v>
      </c>
      <c r="AC140" s="63">
        <f t="shared" si="9"/>
        <v>5.1020408163264218E-3</v>
      </c>
      <c r="AD140" s="39"/>
    </row>
    <row r="141" spans="1:30" x14ac:dyDescent="0.25">
      <c r="A141" s="52" t="s">
        <v>34</v>
      </c>
      <c r="B141" s="2">
        <v>2021</v>
      </c>
      <c r="C141" s="2" t="s">
        <v>40</v>
      </c>
      <c r="D141" s="62">
        <f t="shared" ref="D141:AC141" si="10">IFERROR((D49-D48)/D48,0)</f>
        <v>-2.0449897750510087E-3</v>
      </c>
      <c r="E141" s="62">
        <f t="shared" si="10"/>
        <v>2.3762376237623818E-2</v>
      </c>
      <c r="F141" s="62">
        <f t="shared" si="10"/>
        <v>8.3010514665190927E-3</v>
      </c>
      <c r="G141" s="62">
        <f t="shared" si="10"/>
        <v>8.32266325224079E-3</v>
      </c>
      <c r="H141" s="62">
        <f t="shared" si="10"/>
        <v>-8.7098530212302364E-3</v>
      </c>
      <c r="I141" s="62">
        <f t="shared" si="10"/>
        <v>-4.2527339003644513E-3</v>
      </c>
      <c r="J141" s="62">
        <f t="shared" si="10"/>
        <v>5.662805662805652E-2</v>
      </c>
      <c r="K141" s="62">
        <f t="shared" si="10"/>
        <v>-1.2048192771084338E-2</v>
      </c>
      <c r="L141" s="62">
        <f t="shared" si="10"/>
        <v>-5.2128583840138519E-3</v>
      </c>
      <c r="M141" s="62">
        <f t="shared" si="10"/>
        <v>-1.1869436201779741E-3</v>
      </c>
      <c r="N141" s="62">
        <f t="shared" si="10"/>
        <v>5.6250000000000354E-3</v>
      </c>
      <c r="O141" s="62">
        <f t="shared" si="10"/>
        <v>-1.1600928074246928E-3</v>
      </c>
      <c r="P141" s="62">
        <f t="shared" si="10"/>
        <v>8.6100861008610446E-3</v>
      </c>
      <c r="Q141" s="62">
        <f t="shared" si="10"/>
        <v>2.0964360587000905E-3</v>
      </c>
      <c r="R141" s="62">
        <f t="shared" si="10"/>
        <v>3.6991368680642589E-3</v>
      </c>
      <c r="S141" s="62">
        <f t="shared" si="10"/>
        <v>8.5638998682475813E-3</v>
      </c>
      <c r="T141" s="62">
        <f t="shared" si="10"/>
        <v>4.3559427504668144E-3</v>
      </c>
      <c r="U141" s="62">
        <f t="shared" si="10"/>
        <v>6.2305295950155761E-3</v>
      </c>
      <c r="V141" s="62">
        <f t="shared" si="10"/>
        <v>5.6320400500624356E-3</v>
      </c>
      <c r="W141" s="62">
        <f t="shared" si="10"/>
        <v>6.4599483204134363E-3</v>
      </c>
      <c r="X141" s="62">
        <f t="shared" si="10"/>
        <v>4.2092603728201361E-3</v>
      </c>
      <c r="Y141" s="62">
        <f t="shared" si="10"/>
        <v>1.5925680159256841E-2</v>
      </c>
      <c r="Z141" s="62">
        <f t="shared" si="10"/>
        <v>2.5823111684958404E-3</v>
      </c>
      <c r="AA141" s="62">
        <f t="shared" si="10"/>
        <v>9.2764378478664197E-3</v>
      </c>
      <c r="AB141" s="62">
        <f t="shared" si="10"/>
        <v>8.1863979848865419E-3</v>
      </c>
      <c r="AC141" s="63">
        <f t="shared" si="10"/>
        <v>8.883248730964504E-3</v>
      </c>
      <c r="AD141" s="39"/>
    </row>
    <row r="142" spans="1:30" x14ac:dyDescent="0.25">
      <c r="A142" s="52" t="s">
        <v>34</v>
      </c>
      <c r="B142" s="2">
        <v>2021</v>
      </c>
      <c r="C142" s="2" t="s">
        <v>41</v>
      </c>
      <c r="D142" s="62">
        <f t="shared" ref="D142:AC142" si="11">IFERROR((D50-D49)/D49,0)</f>
        <v>1.3661202185791573E-3</v>
      </c>
      <c r="E142" s="62">
        <f t="shared" si="11"/>
        <v>-1.3539651837524232E-2</v>
      </c>
      <c r="F142" s="62">
        <f t="shared" si="11"/>
        <v>-5.1591657519209536E-2</v>
      </c>
      <c r="G142" s="62">
        <f t="shared" si="11"/>
        <v>5.7142857142857507E-3</v>
      </c>
      <c r="H142" s="62">
        <f t="shared" si="11"/>
        <v>3.2399780340472299E-2</v>
      </c>
      <c r="I142" s="62">
        <f t="shared" si="11"/>
        <v>-4.3319097010372141E-2</v>
      </c>
      <c r="J142" s="62">
        <f t="shared" si="11"/>
        <v>-1.2180267965895251E-2</v>
      </c>
      <c r="K142" s="62">
        <f t="shared" si="11"/>
        <v>6.0975609756094091E-4</v>
      </c>
      <c r="L142" s="62">
        <f t="shared" si="11"/>
        <v>4.5414847161572076E-2</v>
      </c>
      <c r="M142" s="62">
        <f t="shared" si="11"/>
        <v>2.9708853238265003E-3</v>
      </c>
      <c r="N142" s="62">
        <f t="shared" si="11"/>
        <v>1.1187072715972548E-2</v>
      </c>
      <c r="O142" s="62">
        <f t="shared" si="11"/>
        <v>9.872241579558752E-3</v>
      </c>
      <c r="P142" s="62">
        <f t="shared" si="11"/>
        <v>0</v>
      </c>
      <c r="Q142" s="62">
        <f t="shared" si="11"/>
        <v>4.7071129707113267E-3</v>
      </c>
      <c r="R142" s="62">
        <f t="shared" si="11"/>
        <v>1.0442260442260373E-2</v>
      </c>
      <c r="S142" s="62">
        <f t="shared" si="11"/>
        <v>1.4369693011103966E-2</v>
      </c>
      <c r="T142" s="62">
        <f t="shared" si="11"/>
        <v>1.1152416356877217E-2</v>
      </c>
      <c r="U142" s="62">
        <f t="shared" si="11"/>
        <v>3.7151702786377356E-3</v>
      </c>
      <c r="V142" s="62">
        <f t="shared" si="11"/>
        <v>1.1823273179838244E-2</v>
      </c>
      <c r="W142" s="62">
        <f t="shared" si="11"/>
        <v>1.0911424903722648E-2</v>
      </c>
      <c r="X142" s="62">
        <f t="shared" si="11"/>
        <v>8.3832335329341659E-3</v>
      </c>
      <c r="Y142" s="62">
        <f t="shared" si="11"/>
        <v>5.8785107772697954E-3</v>
      </c>
      <c r="Z142" s="62">
        <f t="shared" si="11"/>
        <v>1.4810045074050114E-2</v>
      </c>
      <c r="AA142" s="62">
        <f t="shared" si="11"/>
        <v>3.6764705882354337E-3</v>
      </c>
      <c r="AB142" s="62">
        <f t="shared" si="11"/>
        <v>-6.2460961898809693E-4</v>
      </c>
      <c r="AC142" s="63">
        <f t="shared" si="11"/>
        <v>6.2893081761006293E-3</v>
      </c>
      <c r="AD142" s="39"/>
    </row>
    <row r="143" spans="1:30" x14ac:dyDescent="0.25">
      <c r="A143" s="52" t="s">
        <v>34</v>
      </c>
      <c r="B143" s="2">
        <v>2021</v>
      </c>
      <c r="C143" s="2" t="s">
        <v>42</v>
      </c>
      <c r="D143" s="62">
        <f t="shared" ref="D143:AC143" si="12">IFERROR((D51-D50)/D50,0)</f>
        <v>0</v>
      </c>
      <c r="E143" s="62">
        <f t="shared" si="12"/>
        <v>0</v>
      </c>
      <c r="F143" s="62">
        <f t="shared" si="12"/>
        <v>0</v>
      </c>
      <c r="G143" s="62">
        <f t="shared" si="12"/>
        <v>0</v>
      </c>
      <c r="H143" s="62">
        <f t="shared" si="12"/>
        <v>0</v>
      </c>
      <c r="I143" s="62">
        <f t="shared" si="12"/>
        <v>-6.3775510204096134E-4</v>
      </c>
      <c r="J143" s="62">
        <f t="shared" si="12"/>
        <v>6.1652281134415992E-4</v>
      </c>
      <c r="K143" s="62">
        <f t="shared" si="12"/>
        <v>0</v>
      </c>
      <c r="L143" s="62">
        <f t="shared" si="12"/>
        <v>0</v>
      </c>
      <c r="M143" s="62">
        <f t="shared" si="12"/>
        <v>0</v>
      </c>
      <c r="N143" s="62">
        <f t="shared" si="12"/>
        <v>0</v>
      </c>
      <c r="O143" s="62">
        <f t="shared" si="12"/>
        <v>0</v>
      </c>
      <c r="P143" s="62">
        <f t="shared" si="12"/>
        <v>0</v>
      </c>
      <c r="Q143" s="62">
        <f t="shared" si="12"/>
        <v>0</v>
      </c>
      <c r="R143" s="62">
        <f t="shared" si="12"/>
        <v>6.0790273556227549E-4</v>
      </c>
      <c r="S143" s="62">
        <f t="shared" si="12"/>
        <v>0</v>
      </c>
      <c r="T143" s="62">
        <f t="shared" si="12"/>
        <v>6.12745098039355E-4</v>
      </c>
      <c r="U143" s="62">
        <f t="shared" si="12"/>
        <v>0</v>
      </c>
      <c r="V143" s="62">
        <f t="shared" si="12"/>
        <v>0</v>
      </c>
      <c r="W143" s="62">
        <f t="shared" si="12"/>
        <v>0</v>
      </c>
      <c r="X143" s="62">
        <f t="shared" si="12"/>
        <v>0</v>
      </c>
      <c r="Y143" s="62">
        <f t="shared" si="12"/>
        <v>0</v>
      </c>
      <c r="Z143" s="62">
        <f t="shared" si="12"/>
        <v>6.3451776649742588E-4</v>
      </c>
      <c r="AA143" s="62">
        <f t="shared" si="12"/>
        <v>-6.1050061050074928E-4</v>
      </c>
      <c r="AB143" s="62">
        <f t="shared" si="12"/>
        <v>0</v>
      </c>
      <c r="AC143" s="63">
        <f t="shared" si="12"/>
        <v>0</v>
      </c>
      <c r="AD143" s="39"/>
    </row>
    <row r="144" spans="1:30" x14ac:dyDescent="0.25">
      <c r="A144" s="52" t="s">
        <v>34</v>
      </c>
      <c r="B144" s="2">
        <v>2021</v>
      </c>
      <c r="C144" s="2" t="s">
        <v>43</v>
      </c>
      <c r="D144" s="62">
        <f t="shared" ref="D144:AC144" si="13">IFERROR((D52-D51)/D51,0)</f>
        <v>5.4570259208732022E-3</v>
      </c>
      <c r="E144" s="62">
        <f t="shared" si="13"/>
        <v>2.9411764705882075E-3</v>
      </c>
      <c r="F144" s="62">
        <f t="shared" si="13"/>
        <v>-9.2592592592593906E-3</v>
      </c>
      <c r="G144" s="62">
        <f t="shared" si="13"/>
        <v>1.8939393939392862E-3</v>
      </c>
      <c r="H144" s="62">
        <f t="shared" si="13"/>
        <v>1.3829787234042523E-2</v>
      </c>
      <c r="I144" s="62">
        <f t="shared" si="13"/>
        <v>-6.3816209317166563E-3</v>
      </c>
      <c r="J144" s="62">
        <f t="shared" si="13"/>
        <v>0.14171287738755389</v>
      </c>
      <c r="K144" s="62">
        <f t="shared" si="13"/>
        <v>6.7032297379646215E-3</v>
      </c>
      <c r="L144" s="62">
        <f t="shared" si="13"/>
        <v>1.8379281537176297E-2</v>
      </c>
      <c r="M144" s="62">
        <f t="shared" si="13"/>
        <v>2.9620853080568718E-3</v>
      </c>
      <c r="N144" s="62">
        <f t="shared" si="13"/>
        <v>3.0731407498463433E-3</v>
      </c>
      <c r="O144" s="62">
        <f t="shared" si="13"/>
        <v>4.6003450258768428E-3</v>
      </c>
      <c r="P144" s="62">
        <f t="shared" si="13"/>
        <v>2.2560975609756027E-2</v>
      </c>
      <c r="Q144" s="62">
        <f t="shared" si="13"/>
        <v>3.1233732431025212E-3</v>
      </c>
      <c r="R144" s="62">
        <f t="shared" si="13"/>
        <v>6.6828675577156405E-3</v>
      </c>
      <c r="S144" s="62">
        <f t="shared" si="13"/>
        <v>6.4391500321957498E-3</v>
      </c>
      <c r="T144" s="62">
        <f t="shared" si="13"/>
        <v>6.1236987140232697E-3</v>
      </c>
      <c r="U144" s="62">
        <f t="shared" si="13"/>
        <v>9.2535471930906849E-3</v>
      </c>
      <c r="V144" s="62">
        <f t="shared" si="13"/>
        <v>9.8400984009839754E-3</v>
      </c>
      <c r="W144" s="62">
        <f t="shared" si="13"/>
        <v>5.7142857142857507E-3</v>
      </c>
      <c r="X144" s="62">
        <f t="shared" si="13"/>
        <v>4.1567695961994573E-3</v>
      </c>
      <c r="Y144" s="62">
        <f t="shared" si="13"/>
        <v>1.1038961038960965E-2</v>
      </c>
      <c r="Z144" s="62">
        <f t="shared" si="13"/>
        <v>5.7070386810399859E-3</v>
      </c>
      <c r="AA144" s="62">
        <f t="shared" si="13"/>
        <v>1.2217470983507458E-3</v>
      </c>
      <c r="AB144" s="62">
        <f t="shared" si="13"/>
        <v>5.0000000000000712E-3</v>
      </c>
      <c r="AC144" s="63">
        <f t="shared" si="13"/>
        <v>6.2500000000000003E-3</v>
      </c>
      <c r="AD144" s="39"/>
    </row>
    <row r="145" spans="1:30" x14ac:dyDescent="0.25">
      <c r="A145" s="52" t="s">
        <v>34</v>
      </c>
      <c r="B145" s="2">
        <v>2021</v>
      </c>
      <c r="C145" s="2" t="s">
        <v>45</v>
      </c>
      <c r="D145" s="62">
        <f t="shared" ref="D145:AC145" si="14">IFERROR((D53-D52)/D52,0)</f>
        <v>5.4274084124829236E-3</v>
      </c>
      <c r="E145" s="62">
        <f t="shared" si="14"/>
        <v>-1.466275659824047E-2</v>
      </c>
      <c r="F145" s="62">
        <f t="shared" si="14"/>
        <v>1.0514018691588852E-2</v>
      </c>
      <c r="G145" s="62">
        <f t="shared" si="14"/>
        <v>3.7807183364840756E-3</v>
      </c>
      <c r="H145" s="62">
        <f t="shared" si="14"/>
        <v>-2.6232948583420779E-3</v>
      </c>
      <c r="I145" s="62">
        <f t="shared" si="14"/>
        <v>5.1380860629416276E-3</v>
      </c>
      <c r="J145" s="62">
        <f t="shared" si="14"/>
        <v>7.5013491635186058E-2</v>
      </c>
      <c r="K145" s="62">
        <f t="shared" si="14"/>
        <v>6.0532687651345491E-4</v>
      </c>
      <c r="L145" s="62">
        <f t="shared" si="14"/>
        <v>4.1017227235438884E-3</v>
      </c>
      <c r="M145" s="62">
        <f t="shared" si="14"/>
        <v>1.772002362669716E-3</v>
      </c>
      <c r="N145" s="62">
        <f t="shared" si="14"/>
        <v>3.0637254901960788E-3</v>
      </c>
      <c r="O145" s="62">
        <f t="shared" si="14"/>
        <v>4.5792787635947994E-3</v>
      </c>
      <c r="P145" s="62">
        <f t="shared" si="14"/>
        <v>1.1926058437686345E-2</v>
      </c>
      <c r="Q145" s="62">
        <f t="shared" si="14"/>
        <v>1.0378827192528131E-3</v>
      </c>
      <c r="R145" s="62">
        <f t="shared" si="14"/>
        <v>9.0525045262522634E-3</v>
      </c>
      <c r="S145" s="62">
        <f t="shared" si="14"/>
        <v>7.03774792066535E-3</v>
      </c>
      <c r="T145" s="62">
        <f t="shared" si="14"/>
        <v>9.1296409007912346E-3</v>
      </c>
      <c r="U145" s="62">
        <f t="shared" si="14"/>
        <v>3.6674816625916523E-3</v>
      </c>
      <c r="V145" s="62">
        <f t="shared" si="14"/>
        <v>-1.8270401948841837E-3</v>
      </c>
      <c r="W145" s="62">
        <f t="shared" si="14"/>
        <v>5.6818181818182175E-3</v>
      </c>
      <c r="X145" s="62">
        <f t="shared" si="14"/>
        <v>4.730928444707341E-3</v>
      </c>
      <c r="Y145" s="62">
        <f t="shared" si="14"/>
        <v>-5.7803468208091026E-3</v>
      </c>
      <c r="Z145" s="62">
        <f t="shared" si="14"/>
        <v>7.5662042875158705E-3</v>
      </c>
      <c r="AA145" s="62">
        <f t="shared" si="14"/>
        <v>2.4405125076266362E-3</v>
      </c>
      <c r="AB145" s="62">
        <f t="shared" si="14"/>
        <v>8.7064676616914003E-3</v>
      </c>
      <c r="AC145" s="63">
        <f t="shared" si="14"/>
        <v>2.4844720496894762E-3</v>
      </c>
      <c r="AD145" s="39"/>
    </row>
    <row r="146" spans="1:30" x14ac:dyDescent="0.25">
      <c r="A146" s="52" t="s">
        <v>34</v>
      </c>
      <c r="B146" s="2">
        <v>2021</v>
      </c>
      <c r="C146" s="2" t="s">
        <v>46</v>
      </c>
      <c r="D146" s="62">
        <f t="shared" ref="D146:AC146" si="15">IFERROR((D54-D53)/D53,0)</f>
        <v>3.3738191632928477E-3</v>
      </c>
      <c r="E146" s="62">
        <f t="shared" si="15"/>
        <v>-1.3888888888888805E-2</v>
      </c>
      <c r="F146" s="62">
        <f t="shared" si="15"/>
        <v>2.8323699421965352E-2</v>
      </c>
      <c r="G146" s="62">
        <f t="shared" si="15"/>
        <v>3.766478342749493E-3</v>
      </c>
      <c r="H146" s="62">
        <f t="shared" si="15"/>
        <v>-1.3150973172014729E-2</v>
      </c>
      <c r="I146" s="62">
        <f t="shared" si="15"/>
        <v>-1.0223642172523926E-2</v>
      </c>
      <c r="J146" s="62">
        <f t="shared" si="15"/>
        <v>-5.4718875502007921E-2</v>
      </c>
      <c r="K146" s="62">
        <f t="shared" si="15"/>
        <v>-5.4446460980036634E-3</v>
      </c>
      <c r="L146" s="62">
        <f t="shared" si="15"/>
        <v>-1.1437908496732072E-2</v>
      </c>
      <c r="M146" s="62">
        <f t="shared" si="15"/>
        <v>5.3066037735849392E-3</v>
      </c>
      <c r="N146" s="62">
        <f t="shared" si="15"/>
        <v>3.0543677458766036E-3</v>
      </c>
      <c r="O146" s="62">
        <f t="shared" si="15"/>
        <v>5.6980056980056983E-3</v>
      </c>
      <c r="P146" s="62">
        <f t="shared" si="15"/>
        <v>-8.8391278727165592E-3</v>
      </c>
      <c r="Q146" s="62">
        <f t="shared" si="15"/>
        <v>-2.592016588906169E-3</v>
      </c>
      <c r="R146" s="62">
        <f t="shared" si="15"/>
        <v>7.7751196172249487E-3</v>
      </c>
      <c r="S146" s="62">
        <f t="shared" si="15"/>
        <v>8.2592121982209849E-3</v>
      </c>
      <c r="T146" s="62">
        <f t="shared" si="15"/>
        <v>7.2376357056694119E-3</v>
      </c>
      <c r="U146" s="62">
        <f t="shared" si="15"/>
        <v>-4.8721071863579964E-3</v>
      </c>
      <c r="V146" s="62">
        <f t="shared" si="15"/>
        <v>1.2202562538132314E-3</v>
      </c>
      <c r="W146" s="62">
        <f t="shared" si="15"/>
        <v>5.6497175141241507E-3</v>
      </c>
      <c r="X146" s="62">
        <f t="shared" si="15"/>
        <v>4.1200706297821578E-3</v>
      </c>
      <c r="Y146" s="62">
        <f t="shared" si="15"/>
        <v>5.8139534883719455E-3</v>
      </c>
      <c r="Z146" s="62">
        <f t="shared" si="15"/>
        <v>5.0062578222777399E-3</v>
      </c>
      <c r="AA146" s="62">
        <f t="shared" si="15"/>
        <v>6.0864272671938102E-4</v>
      </c>
      <c r="AB146" s="62">
        <f t="shared" si="15"/>
        <v>2.4660912453761141E-3</v>
      </c>
      <c r="AC146" s="63">
        <f t="shared" si="15"/>
        <v>3.7174721189590725E-3</v>
      </c>
      <c r="AD146" s="39"/>
    </row>
    <row r="147" spans="1:30" x14ac:dyDescent="0.25">
      <c r="A147" s="52" t="s">
        <v>34</v>
      </c>
      <c r="B147" s="2">
        <v>2022</v>
      </c>
      <c r="C147" s="2" t="s">
        <v>31</v>
      </c>
      <c r="D147" s="62">
        <f t="shared" ref="D147:AC147" si="16">IFERROR((D55-D54)/D54,0)</f>
        <v>5.3799596503026998E-3</v>
      </c>
      <c r="E147" s="62">
        <f t="shared" si="16"/>
        <v>-5.0301810865202579E-4</v>
      </c>
      <c r="F147" s="62">
        <f t="shared" si="16"/>
        <v>5.0590219224283623E-3</v>
      </c>
      <c r="G147" s="62">
        <f t="shared" si="16"/>
        <v>3.7523452157598143E-3</v>
      </c>
      <c r="H147" s="62">
        <f t="shared" si="16"/>
        <v>-1.5458422174840116E-2</v>
      </c>
      <c r="I147" s="62">
        <f t="shared" si="16"/>
        <v>-7.7469335054875209E-3</v>
      </c>
      <c r="J147" s="62">
        <f t="shared" si="16"/>
        <v>-7.4349442379182146E-2</v>
      </c>
      <c r="K147" s="62">
        <f t="shared" si="16"/>
        <v>-3.0413625304136251E-3</v>
      </c>
      <c r="L147" s="62">
        <f t="shared" si="16"/>
        <v>-8.2644628099173556E-3</v>
      </c>
      <c r="M147" s="62">
        <f t="shared" si="16"/>
        <v>9.3841642228738673E-3</v>
      </c>
      <c r="N147" s="62">
        <f t="shared" si="16"/>
        <v>6.0901339829490101E-4</v>
      </c>
      <c r="O147" s="62">
        <f t="shared" si="16"/>
        <v>4.5325779036827843E-3</v>
      </c>
      <c r="P147" s="62">
        <f t="shared" si="16"/>
        <v>-1.070154577883462E-2</v>
      </c>
      <c r="Q147" s="62">
        <f t="shared" si="16"/>
        <v>-1.039501039501128E-3</v>
      </c>
      <c r="R147" s="62">
        <f t="shared" si="16"/>
        <v>8.3086053412463248E-3</v>
      </c>
      <c r="S147" s="62">
        <f t="shared" si="16"/>
        <v>1.2602394454946441E-2</v>
      </c>
      <c r="T147" s="62">
        <f t="shared" si="16"/>
        <v>8.9820359281437123E-3</v>
      </c>
      <c r="U147" s="62">
        <f t="shared" si="16"/>
        <v>6.7319461444308093E-3</v>
      </c>
      <c r="V147" s="62">
        <f t="shared" si="16"/>
        <v>6.0938452163311586E-4</v>
      </c>
      <c r="W147" s="62">
        <f t="shared" si="16"/>
        <v>5.6179775280899239E-3</v>
      </c>
      <c r="X147" s="62">
        <f t="shared" si="16"/>
        <v>4.6893317702228097E-3</v>
      </c>
      <c r="Y147" s="62">
        <f t="shared" si="16"/>
        <v>5.1380860629416276E-3</v>
      </c>
      <c r="Z147" s="62">
        <f t="shared" si="16"/>
        <v>3.735990037359865E-3</v>
      </c>
      <c r="AA147" s="62">
        <f t="shared" si="16"/>
        <v>1.8248175182480715E-3</v>
      </c>
      <c r="AB147" s="62">
        <f t="shared" si="16"/>
        <v>2.4600246002460377E-3</v>
      </c>
      <c r="AC147" s="63">
        <f t="shared" si="16"/>
        <v>4.3209876543209179E-3</v>
      </c>
      <c r="AD147" s="39"/>
    </row>
    <row r="148" spans="1:30" x14ac:dyDescent="0.25">
      <c r="A148" s="52" t="s">
        <v>34</v>
      </c>
      <c r="B148" s="2">
        <v>2022</v>
      </c>
      <c r="C148" s="2" t="s">
        <v>35</v>
      </c>
      <c r="D148" s="62">
        <f t="shared" ref="D148:AC148" si="17">IFERROR((D56-D55)/D55,0)</f>
        <v>3.3444816053511705E-3</v>
      </c>
      <c r="E148" s="62">
        <f t="shared" si="17"/>
        <v>9.5621540010065714E-3</v>
      </c>
      <c r="F148" s="62">
        <f t="shared" si="17"/>
        <v>-1.6778523489932886E-2</v>
      </c>
      <c r="G148" s="62">
        <f t="shared" si="17"/>
        <v>1.2461059190030444E-3</v>
      </c>
      <c r="H148" s="62">
        <f t="shared" si="17"/>
        <v>1.0828370330266219E-3</v>
      </c>
      <c r="I148" s="62">
        <f t="shared" si="17"/>
        <v>0</v>
      </c>
      <c r="J148" s="62">
        <f t="shared" si="17"/>
        <v>-2.6391279403327726E-2</v>
      </c>
      <c r="K148" s="62">
        <f t="shared" si="17"/>
        <v>-1.2202562538134048E-3</v>
      </c>
      <c r="L148" s="62">
        <f t="shared" si="17"/>
        <v>-9.1666666666666199E-3</v>
      </c>
      <c r="M148" s="62">
        <f t="shared" si="17"/>
        <v>1.2783265543288885E-2</v>
      </c>
      <c r="N148" s="62">
        <f t="shared" si="17"/>
        <v>2.4345709068775241E-3</v>
      </c>
      <c r="O148" s="62">
        <f t="shared" si="17"/>
        <v>3.948110547095254E-3</v>
      </c>
      <c r="P148" s="62">
        <f t="shared" si="17"/>
        <v>-1.2019230769231793E-3</v>
      </c>
      <c r="Q148" s="62">
        <f t="shared" si="17"/>
        <v>3.1217481789803476E-3</v>
      </c>
      <c r="R148" s="62">
        <f t="shared" si="17"/>
        <v>5.297233666862894E-3</v>
      </c>
      <c r="S148" s="62">
        <f t="shared" si="17"/>
        <v>1.0578718108276397E-2</v>
      </c>
      <c r="T148" s="62">
        <f t="shared" si="17"/>
        <v>6.5281899109791951E-3</v>
      </c>
      <c r="U148" s="62">
        <f t="shared" si="17"/>
        <v>6.0790273556231003E-3</v>
      </c>
      <c r="V148" s="62">
        <f t="shared" si="17"/>
        <v>9.1352009744214372E-3</v>
      </c>
      <c r="W148" s="62">
        <f t="shared" si="17"/>
        <v>4.3451272501552896E-3</v>
      </c>
      <c r="X148" s="62">
        <f t="shared" si="17"/>
        <v>4.6674445740955833E-3</v>
      </c>
      <c r="Y148" s="62">
        <f t="shared" si="17"/>
        <v>2.5559105431310269E-3</v>
      </c>
      <c r="Z148" s="62">
        <f t="shared" si="17"/>
        <v>5.5831265508685217E-3</v>
      </c>
      <c r="AA148" s="62">
        <f t="shared" si="17"/>
        <v>4.2501517911355015E-3</v>
      </c>
      <c r="AB148" s="62">
        <f t="shared" si="17"/>
        <v>8.5889570552147593E-3</v>
      </c>
      <c r="AC148" s="63">
        <f t="shared" si="17"/>
        <v>4.9170251997542186E-3</v>
      </c>
      <c r="AD148" s="39"/>
    </row>
    <row r="149" spans="1:30" x14ac:dyDescent="0.25">
      <c r="A149" s="52" t="s">
        <v>34</v>
      </c>
      <c r="B149" s="2">
        <v>2022</v>
      </c>
      <c r="C149" s="2" t="s">
        <v>36</v>
      </c>
      <c r="D149" s="62">
        <f t="shared" ref="D149:AC149" si="18">IFERROR((D57-D56)/D56,0)</f>
        <v>8.6666666666667426E-3</v>
      </c>
      <c r="E149" s="62">
        <f t="shared" si="18"/>
        <v>5.0348953140578238E-2</v>
      </c>
      <c r="F149" s="62">
        <f t="shared" si="18"/>
        <v>-4.5506257110352673E-2</v>
      </c>
      <c r="G149" s="62">
        <f t="shared" si="18"/>
        <v>9.3341630367143758E-3</v>
      </c>
      <c r="H149" s="62">
        <f t="shared" si="18"/>
        <v>5.2460789616008592E-2</v>
      </c>
      <c r="I149" s="62">
        <f t="shared" si="18"/>
        <v>2.5374105400130163E-2</v>
      </c>
      <c r="J149" s="62">
        <f t="shared" si="18"/>
        <v>-1.6499705362404145E-2</v>
      </c>
      <c r="K149" s="62">
        <f t="shared" si="18"/>
        <v>1.2217470983507458E-3</v>
      </c>
      <c r="L149" s="62">
        <f t="shared" si="18"/>
        <v>-8.4104289318762419E-4</v>
      </c>
      <c r="M149" s="62">
        <f t="shared" si="18"/>
        <v>1.7785427423981606E-2</v>
      </c>
      <c r="N149" s="62">
        <f t="shared" si="18"/>
        <v>3.6429872495447649E-3</v>
      </c>
      <c r="O149" s="62">
        <f t="shared" si="18"/>
        <v>7.3033707865169176E-3</v>
      </c>
      <c r="P149" s="62">
        <f t="shared" si="18"/>
        <v>1.3237063778580128E-2</v>
      </c>
      <c r="Q149" s="62">
        <f t="shared" si="18"/>
        <v>4.6680497925310023E-3</v>
      </c>
      <c r="R149" s="62">
        <f t="shared" si="18"/>
        <v>7.6112412177984949E-3</v>
      </c>
      <c r="S149" s="62">
        <f t="shared" si="18"/>
        <v>1.354679802955658E-2</v>
      </c>
      <c r="T149" s="62">
        <f t="shared" si="18"/>
        <v>8.8443396226415092E-3</v>
      </c>
      <c r="U149" s="62">
        <f t="shared" si="18"/>
        <v>-1.2084592145014418E-3</v>
      </c>
      <c r="V149" s="62">
        <f t="shared" si="18"/>
        <v>9.0525045262522634E-3</v>
      </c>
      <c r="W149" s="62">
        <f t="shared" si="18"/>
        <v>6.180469715698393E-3</v>
      </c>
      <c r="X149" s="62">
        <f t="shared" si="18"/>
        <v>4.6457607433217848E-3</v>
      </c>
      <c r="Y149" s="62">
        <f t="shared" si="18"/>
        <v>6.3734862970044612E-3</v>
      </c>
      <c r="Z149" s="62">
        <f t="shared" si="18"/>
        <v>7.4028377544726534E-3</v>
      </c>
      <c r="AA149" s="62">
        <f t="shared" si="18"/>
        <v>3.6275695284159267E-3</v>
      </c>
      <c r="AB149" s="62">
        <f t="shared" si="18"/>
        <v>1.7031630170316198E-2</v>
      </c>
      <c r="AC149" s="63">
        <f t="shared" si="18"/>
        <v>6.7278287461773351E-3</v>
      </c>
      <c r="AD149" s="39"/>
    </row>
    <row r="150" spans="1:30" x14ac:dyDescent="0.25">
      <c r="A150" s="52" t="s">
        <v>34</v>
      </c>
      <c r="B150" s="2">
        <v>2022</v>
      </c>
      <c r="C150" s="2" t="s">
        <v>37</v>
      </c>
      <c r="D150" s="62">
        <f t="shared" ref="D150:AC150" si="19">IFERROR((D58-D57)/D57,0)</f>
        <v>1.0575016523463279E-2</v>
      </c>
      <c r="E150" s="62">
        <f t="shared" si="19"/>
        <v>5.2206929283342323E-3</v>
      </c>
      <c r="F150" s="62">
        <f t="shared" si="19"/>
        <v>-1.9666269368295658E-2</v>
      </c>
      <c r="G150" s="62">
        <f t="shared" si="19"/>
        <v>1.0480887792848441E-2</v>
      </c>
      <c r="H150" s="62">
        <f t="shared" si="19"/>
        <v>2.5179856115107944E-2</v>
      </c>
      <c r="I150" s="62">
        <f t="shared" si="19"/>
        <v>9.5177664974619297E-2</v>
      </c>
      <c r="J150" s="62">
        <f t="shared" si="19"/>
        <v>-4.1941282204914143E-3</v>
      </c>
      <c r="K150" s="62">
        <f t="shared" si="19"/>
        <v>4.8810250152530989E-3</v>
      </c>
      <c r="L150" s="62">
        <f t="shared" si="19"/>
        <v>1.6835016835017075E-3</v>
      </c>
      <c r="M150" s="62">
        <f t="shared" si="19"/>
        <v>2.1984216459977484E-2</v>
      </c>
      <c r="N150" s="62">
        <f t="shared" si="19"/>
        <v>5.4446460980034916E-3</v>
      </c>
      <c r="O150" s="62">
        <f t="shared" si="19"/>
        <v>8.9235917456776028E-3</v>
      </c>
      <c r="P150" s="62">
        <f t="shared" si="19"/>
        <v>1.4251781472684119E-2</v>
      </c>
      <c r="Q150" s="62">
        <f t="shared" si="19"/>
        <v>1.0325245224574965E-3</v>
      </c>
      <c r="R150" s="62">
        <f t="shared" si="19"/>
        <v>1.0459035444509072E-2</v>
      </c>
      <c r="S150" s="62">
        <f t="shared" si="19"/>
        <v>1.1543134872418018E-2</v>
      </c>
      <c r="T150" s="62">
        <f t="shared" si="19"/>
        <v>9.9357101110462715E-3</v>
      </c>
      <c r="U150" s="62">
        <f t="shared" si="19"/>
        <v>1.0284331518451231E-2</v>
      </c>
      <c r="V150" s="62">
        <f t="shared" si="19"/>
        <v>2.9904306220095697E-2</v>
      </c>
      <c r="W150" s="62">
        <f t="shared" si="19"/>
        <v>7.371007371007301E-3</v>
      </c>
      <c r="X150" s="62">
        <f t="shared" si="19"/>
        <v>5.7803468208092483E-3</v>
      </c>
      <c r="Y150" s="62">
        <f t="shared" si="19"/>
        <v>2.9765674477517344E-2</v>
      </c>
      <c r="Z150" s="62">
        <f t="shared" si="19"/>
        <v>6.7360685854255618E-3</v>
      </c>
      <c r="AA150" s="62">
        <f t="shared" si="19"/>
        <v>5.4216867469879864E-3</v>
      </c>
      <c r="AB150" s="62">
        <f t="shared" si="19"/>
        <v>9.5693779904307587E-3</v>
      </c>
      <c r="AC150" s="63">
        <f t="shared" si="19"/>
        <v>1.3365735115431453E-2</v>
      </c>
      <c r="AD150" s="39"/>
    </row>
    <row r="151" spans="1:30" x14ac:dyDescent="0.25">
      <c r="A151" s="52" t="s">
        <v>34</v>
      </c>
      <c r="B151" s="2">
        <v>2022</v>
      </c>
      <c r="C151" s="2" t="s">
        <v>38</v>
      </c>
      <c r="D151" s="62">
        <f t="shared" ref="D151:AC151" si="20">IFERROR((D59-D58)/D58,0)</f>
        <v>7.848266841072522E-3</v>
      </c>
      <c r="E151" s="62">
        <f t="shared" si="20"/>
        <v>2.4551463644948011E-2</v>
      </c>
      <c r="F151" s="62">
        <f t="shared" si="20"/>
        <v>-1.2765957446808475E-2</v>
      </c>
      <c r="G151" s="62">
        <f t="shared" si="20"/>
        <v>6.1012812690665035E-3</v>
      </c>
      <c r="H151" s="62">
        <f t="shared" si="20"/>
        <v>1.4536340852130354E-2</v>
      </c>
      <c r="I151" s="62">
        <f t="shared" si="20"/>
        <v>-9.2699884125144513E-3</v>
      </c>
      <c r="J151" s="62">
        <f t="shared" si="20"/>
        <v>5.2346570397112019E-2</v>
      </c>
      <c r="K151" s="62">
        <f t="shared" si="20"/>
        <v>0</v>
      </c>
      <c r="L151" s="62">
        <f t="shared" si="20"/>
        <v>5.8823529411764948E-3</v>
      </c>
      <c r="M151" s="62">
        <f t="shared" si="20"/>
        <v>1.9856591285162681E-2</v>
      </c>
      <c r="N151" s="62">
        <f t="shared" si="20"/>
        <v>5.4151624548736807E-3</v>
      </c>
      <c r="O151" s="62">
        <f t="shared" si="20"/>
        <v>8.8446655610834399E-3</v>
      </c>
      <c r="P151" s="62">
        <f t="shared" si="20"/>
        <v>1.4637002341920374E-2</v>
      </c>
      <c r="Q151" s="62">
        <f t="shared" si="20"/>
        <v>1.0314595152139691E-3</v>
      </c>
      <c r="R151" s="62">
        <f t="shared" si="20"/>
        <v>9.7757331799884339E-3</v>
      </c>
      <c r="S151" s="62">
        <f t="shared" si="20"/>
        <v>1.1411411411411446E-2</v>
      </c>
      <c r="T151" s="62">
        <f t="shared" si="20"/>
        <v>1.0416666666666567E-2</v>
      </c>
      <c r="U151" s="62">
        <f t="shared" si="20"/>
        <v>2.9940119760479044E-3</v>
      </c>
      <c r="V151" s="62">
        <f t="shared" si="20"/>
        <v>1.3937282229965191E-2</v>
      </c>
      <c r="W151" s="62">
        <f t="shared" si="20"/>
        <v>7.3170731707316384E-3</v>
      </c>
      <c r="X151" s="62">
        <f t="shared" si="20"/>
        <v>4.5977011494253523E-3</v>
      </c>
      <c r="Y151" s="62">
        <f t="shared" si="20"/>
        <v>2.4600246002460377E-3</v>
      </c>
      <c r="Z151" s="62">
        <f t="shared" si="20"/>
        <v>4.257907542579006E-3</v>
      </c>
      <c r="AA151" s="62">
        <f t="shared" si="20"/>
        <v>5.9916117435590173E-3</v>
      </c>
      <c r="AB151" s="62">
        <f t="shared" si="20"/>
        <v>-2.3696682464455312E-3</v>
      </c>
      <c r="AC151" s="63">
        <f t="shared" si="20"/>
        <v>4.1966426858512504E-3</v>
      </c>
      <c r="AD151" s="39"/>
    </row>
    <row r="152" spans="1:30" x14ac:dyDescent="0.25">
      <c r="A152" s="52" t="s">
        <v>34</v>
      </c>
      <c r="B152" s="2">
        <v>2022</v>
      </c>
      <c r="C152" s="2" t="s">
        <v>39</v>
      </c>
      <c r="D152" s="62">
        <f t="shared" ref="D152:AC152" si="21">IFERROR((D60-D59)/D59,0)</f>
        <v>5.8403634003893947E-3</v>
      </c>
      <c r="E152" s="62">
        <f t="shared" si="21"/>
        <v>1.1059907834101408E-2</v>
      </c>
      <c r="F152" s="62">
        <f t="shared" si="21"/>
        <v>5.1724137931034517E-2</v>
      </c>
      <c r="G152" s="62">
        <f t="shared" si="21"/>
        <v>5.4578532443905741E-3</v>
      </c>
      <c r="H152" s="62">
        <f t="shared" si="21"/>
        <v>-7.411067193675889E-3</v>
      </c>
      <c r="I152" s="62">
        <f t="shared" si="21"/>
        <v>-7.6023391812866164E-3</v>
      </c>
      <c r="J152" s="62">
        <f t="shared" si="21"/>
        <v>4.230989136649517E-2</v>
      </c>
      <c r="K152" s="62">
        <f t="shared" si="21"/>
        <v>-2.4286581663629466E-3</v>
      </c>
      <c r="L152" s="62">
        <f t="shared" si="21"/>
        <v>1.6708437761069578E-3</v>
      </c>
      <c r="M152" s="62">
        <f t="shared" si="21"/>
        <v>1.1898323418063756E-2</v>
      </c>
      <c r="N152" s="62">
        <f t="shared" si="21"/>
        <v>4.7875523638540481E-3</v>
      </c>
      <c r="O152" s="62">
        <f t="shared" si="21"/>
        <v>7.6712328767123599E-3</v>
      </c>
      <c r="P152" s="62">
        <f t="shared" si="21"/>
        <v>9.2325447201384546E-3</v>
      </c>
      <c r="Q152" s="62">
        <f t="shared" si="21"/>
        <v>1.0303967027306391E-3</v>
      </c>
      <c r="R152" s="62">
        <f t="shared" si="21"/>
        <v>8.5421412300683373E-3</v>
      </c>
      <c r="S152" s="62">
        <f t="shared" si="21"/>
        <v>8.9073634204275536E-3</v>
      </c>
      <c r="T152" s="62">
        <f t="shared" si="21"/>
        <v>8.0183276059565042E-3</v>
      </c>
      <c r="U152" s="62">
        <f t="shared" si="21"/>
        <v>-4.1791044776118723E-3</v>
      </c>
      <c r="V152" s="62">
        <f t="shared" si="21"/>
        <v>8.0183276059565042E-3</v>
      </c>
      <c r="W152" s="62">
        <f t="shared" si="21"/>
        <v>7.2639225181599099E-3</v>
      </c>
      <c r="X152" s="62">
        <f t="shared" si="21"/>
        <v>3.4324942791761686E-3</v>
      </c>
      <c r="Y152" s="62">
        <f t="shared" si="21"/>
        <v>-1.1656441717791446E-2</v>
      </c>
      <c r="Z152" s="62">
        <f t="shared" si="21"/>
        <v>4.2398546335555244E-3</v>
      </c>
      <c r="AA152" s="62">
        <f t="shared" si="21"/>
        <v>6.5515187611673272E-3</v>
      </c>
      <c r="AB152" s="62">
        <f t="shared" si="21"/>
        <v>5.9382422802850355E-3</v>
      </c>
      <c r="AC152" s="63">
        <f t="shared" si="21"/>
        <v>0</v>
      </c>
      <c r="AD152" s="39"/>
    </row>
    <row r="153" spans="1:30" x14ac:dyDescent="0.25">
      <c r="A153" s="52" t="s">
        <v>34</v>
      </c>
      <c r="B153" s="2">
        <v>2022</v>
      </c>
      <c r="C153" s="2" t="s">
        <v>40</v>
      </c>
      <c r="D153" s="62">
        <f t="shared" ref="D153:AC153" si="22">IFERROR((D61-D60)/D60,0)</f>
        <v>9.6774193548387101E-3</v>
      </c>
      <c r="E153" s="62">
        <f t="shared" si="22"/>
        <v>-2.9170464904284436E-2</v>
      </c>
      <c r="F153" s="62">
        <f t="shared" si="22"/>
        <v>2.5761124121779725E-2</v>
      </c>
      <c r="G153" s="62">
        <f t="shared" si="22"/>
        <v>4.8250904704462173E-3</v>
      </c>
      <c r="H153" s="62">
        <f t="shared" si="22"/>
        <v>-2.5385764061722219E-2</v>
      </c>
      <c r="I153" s="62">
        <f t="shared" si="22"/>
        <v>2.6517383618149679E-2</v>
      </c>
      <c r="J153" s="62">
        <f t="shared" si="22"/>
        <v>-1.0970927043336097E-3</v>
      </c>
      <c r="K153" s="62">
        <f t="shared" si="22"/>
        <v>0</v>
      </c>
      <c r="L153" s="62">
        <f t="shared" si="22"/>
        <v>8.3402835696408937E-4</v>
      </c>
      <c r="M153" s="62">
        <f t="shared" si="22"/>
        <v>1.5499732763228252E-2</v>
      </c>
      <c r="N153" s="62">
        <f t="shared" si="22"/>
        <v>2.9779630732578916E-3</v>
      </c>
      <c r="O153" s="62">
        <f t="shared" si="22"/>
        <v>7.0690592713430287E-3</v>
      </c>
      <c r="P153" s="62">
        <f t="shared" si="22"/>
        <v>5.7175528873638828E-4</v>
      </c>
      <c r="Q153" s="62">
        <f t="shared" si="22"/>
        <v>1.5440041173442251E-3</v>
      </c>
      <c r="R153" s="62">
        <f t="shared" si="22"/>
        <v>6.7758328627894812E-3</v>
      </c>
      <c r="S153" s="62">
        <f t="shared" si="22"/>
        <v>8.2401412595644822E-3</v>
      </c>
      <c r="T153" s="62">
        <f t="shared" si="22"/>
        <v>7.3863636363637013E-3</v>
      </c>
      <c r="U153" s="62">
        <f t="shared" si="22"/>
        <v>5.9952038369304557E-3</v>
      </c>
      <c r="V153" s="62">
        <f t="shared" si="22"/>
        <v>2.0454545454545423E-2</v>
      </c>
      <c r="W153" s="62">
        <f t="shared" si="22"/>
        <v>6.0096153846153841E-3</v>
      </c>
      <c r="X153" s="62">
        <f t="shared" si="22"/>
        <v>3.9908779931584299E-3</v>
      </c>
      <c r="Y153" s="62">
        <f t="shared" si="22"/>
        <v>3.1036623215394167E-3</v>
      </c>
      <c r="Z153" s="62">
        <f t="shared" si="22"/>
        <v>3.0156815440289505E-3</v>
      </c>
      <c r="AA153" s="62">
        <f t="shared" si="22"/>
        <v>1.4201183431952697E-2</v>
      </c>
      <c r="AB153" s="62">
        <f t="shared" si="22"/>
        <v>1.7709563164107611E-3</v>
      </c>
      <c r="AC153" s="63">
        <f t="shared" si="22"/>
        <v>5.3731343283582433E-3</v>
      </c>
      <c r="AD153" s="39"/>
    </row>
    <row r="154" spans="1:30" x14ac:dyDescent="0.25">
      <c r="A154" s="52" t="s">
        <v>34</v>
      </c>
      <c r="B154" s="2">
        <v>2022</v>
      </c>
      <c r="C154" s="2" t="s">
        <v>41</v>
      </c>
      <c r="D154" s="62">
        <f t="shared" ref="D154:AC154" si="23">IFERROR((D62-D61)/D61,0)</f>
        <v>2.4281150159744483E-2</v>
      </c>
      <c r="E154" s="62">
        <f t="shared" si="23"/>
        <v>-3.0516431924882629E-2</v>
      </c>
      <c r="F154" s="62">
        <f t="shared" si="23"/>
        <v>-3.4246575342465758E-2</v>
      </c>
      <c r="G154" s="62">
        <f t="shared" si="23"/>
        <v>9.00360144057623E-3</v>
      </c>
      <c r="H154" s="62">
        <f t="shared" si="23"/>
        <v>-1.7364657814096043E-2</v>
      </c>
      <c r="I154" s="62">
        <f t="shared" si="23"/>
        <v>-7.4626865671640818E-3</v>
      </c>
      <c r="J154" s="62">
        <f t="shared" si="23"/>
        <v>2.5260845689181737E-2</v>
      </c>
      <c r="K154" s="62">
        <f t="shared" si="23"/>
        <v>1.7650639074862917E-2</v>
      </c>
      <c r="L154" s="62">
        <f t="shared" si="23"/>
        <v>7.5000000000000474E-3</v>
      </c>
      <c r="M154" s="62">
        <f t="shared" si="23"/>
        <v>1.8947368421052602E-2</v>
      </c>
      <c r="N154" s="62">
        <f t="shared" si="23"/>
        <v>2.3752969121140478E-3</v>
      </c>
      <c r="O154" s="62">
        <f t="shared" si="23"/>
        <v>5.9395248380130824E-3</v>
      </c>
      <c r="P154" s="62">
        <f t="shared" si="23"/>
        <v>7.4285714285714935E-3</v>
      </c>
      <c r="Q154" s="62">
        <f t="shared" si="23"/>
        <v>2.0554984583761853E-3</v>
      </c>
      <c r="R154" s="62">
        <f t="shared" si="23"/>
        <v>6.7302299495232108E-3</v>
      </c>
      <c r="S154" s="62">
        <f t="shared" si="23"/>
        <v>8.1727962638644316E-3</v>
      </c>
      <c r="T154" s="62">
        <f t="shared" si="23"/>
        <v>6.7681895093061962E-3</v>
      </c>
      <c r="U154" s="62">
        <f t="shared" si="23"/>
        <v>7.1513706793801465E-3</v>
      </c>
      <c r="V154" s="62">
        <f t="shared" si="23"/>
        <v>-4.4543429844097048E-3</v>
      </c>
      <c r="W154" s="62">
        <f t="shared" si="23"/>
        <v>6.571087216248472E-3</v>
      </c>
      <c r="X154" s="62">
        <f t="shared" si="23"/>
        <v>3.9750141964793699E-3</v>
      </c>
      <c r="Y154" s="62">
        <f t="shared" si="23"/>
        <v>1.8564356435644268E-3</v>
      </c>
      <c r="Z154" s="62">
        <f t="shared" si="23"/>
        <v>3.6079374624172836E-3</v>
      </c>
      <c r="AA154" s="62">
        <f t="shared" si="23"/>
        <v>5.2508751458576761E-3</v>
      </c>
      <c r="AB154" s="62">
        <f t="shared" si="23"/>
        <v>8.8391278727165592E-3</v>
      </c>
      <c r="AC154" s="63">
        <f t="shared" si="23"/>
        <v>4.1567695961994573E-3</v>
      </c>
      <c r="AD154" s="39"/>
    </row>
    <row r="155" spans="1:30" x14ac:dyDescent="0.25">
      <c r="A155" s="52" t="s">
        <v>34</v>
      </c>
      <c r="B155" s="2">
        <v>2022</v>
      </c>
      <c r="C155" s="2" t="s">
        <v>42</v>
      </c>
      <c r="D155" s="62">
        <f t="shared" ref="D155:AC155" si="24">IFERROR((D63-D62)/D62,0)</f>
        <v>1.9962570180910719E-2</v>
      </c>
      <c r="E155" s="62">
        <f t="shared" si="24"/>
        <v>1.3075060532687597E-2</v>
      </c>
      <c r="F155" s="62">
        <f t="shared" si="24"/>
        <v>2.9550827423167852E-3</v>
      </c>
      <c r="G155" s="62">
        <f t="shared" si="24"/>
        <v>9.5181439619273899E-3</v>
      </c>
      <c r="H155" s="62">
        <f t="shared" si="24"/>
        <v>-1.9230769230769319E-2</v>
      </c>
      <c r="I155" s="62">
        <f t="shared" si="24"/>
        <v>-4.1642567958357531E-2</v>
      </c>
      <c r="J155" s="62">
        <f t="shared" si="24"/>
        <v>2.7316550615961558E-2</v>
      </c>
      <c r="K155" s="62">
        <f t="shared" si="24"/>
        <v>1.1363636363636399E-2</v>
      </c>
      <c r="L155" s="62">
        <f t="shared" si="24"/>
        <v>5.7899090157153728E-3</v>
      </c>
      <c r="M155" s="62">
        <f t="shared" si="24"/>
        <v>1.9111570247933973E-2</v>
      </c>
      <c r="N155" s="62">
        <f t="shared" si="24"/>
        <v>3.5545023696682125E-3</v>
      </c>
      <c r="O155" s="62">
        <f t="shared" si="24"/>
        <v>5.9044551798174676E-3</v>
      </c>
      <c r="P155" s="62">
        <f t="shared" si="24"/>
        <v>8.5082246171298923E-3</v>
      </c>
      <c r="Q155" s="62">
        <f t="shared" si="24"/>
        <v>4.6153846153846444E-3</v>
      </c>
      <c r="R155" s="62">
        <f t="shared" si="24"/>
        <v>7.7994428969359649E-3</v>
      </c>
      <c r="S155" s="62">
        <f t="shared" si="24"/>
        <v>9.2646207295890154E-3</v>
      </c>
      <c r="T155" s="62">
        <f t="shared" si="24"/>
        <v>7.8431372549019919E-3</v>
      </c>
      <c r="U155" s="62">
        <f t="shared" si="24"/>
        <v>2.9585798816568047E-3</v>
      </c>
      <c r="V155" s="62">
        <f t="shared" si="24"/>
        <v>3.9149888143176093E-3</v>
      </c>
      <c r="W155" s="62">
        <f t="shared" si="24"/>
        <v>5.9347181008902079E-3</v>
      </c>
      <c r="X155" s="62">
        <f t="shared" si="24"/>
        <v>5.6561085972850677E-3</v>
      </c>
      <c r="Y155" s="62">
        <f t="shared" si="24"/>
        <v>2.470660901791264E-3</v>
      </c>
      <c r="Z155" s="62">
        <f t="shared" si="24"/>
        <v>4.1941282204912443E-3</v>
      </c>
      <c r="AA155" s="62">
        <f t="shared" si="24"/>
        <v>4.6430644225187636E-3</v>
      </c>
      <c r="AB155" s="62">
        <f t="shared" si="24"/>
        <v>-1.7523364485980313E-3</v>
      </c>
      <c r="AC155" s="63">
        <f t="shared" si="24"/>
        <v>3.548196333530422E-3</v>
      </c>
      <c r="AD155" s="39"/>
    </row>
    <row r="156" spans="1:30" x14ac:dyDescent="0.25">
      <c r="A156" s="52" t="s">
        <v>34</v>
      </c>
      <c r="B156" s="2">
        <v>2022</v>
      </c>
      <c r="C156" s="2" t="s">
        <v>43</v>
      </c>
      <c r="D156" s="62">
        <f t="shared" ref="D156:AC156" si="25">IFERROR((D64-D63)/D63,0)</f>
        <v>1.0397553516819502E-2</v>
      </c>
      <c r="E156" s="62">
        <f t="shared" si="25"/>
        <v>8.1261950286807706E-3</v>
      </c>
      <c r="F156" s="62">
        <f t="shared" si="25"/>
        <v>7.0713022981733478E-3</v>
      </c>
      <c r="G156" s="62">
        <f t="shared" si="25"/>
        <v>7.0713022981733478E-3</v>
      </c>
      <c r="H156" s="62">
        <f t="shared" si="25"/>
        <v>-1.1658717541070422E-2</v>
      </c>
      <c r="I156" s="62">
        <f t="shared" si="25"/>
        <v>-1.1466505733252729E-2</v>
      </c>
      <c r="J156" s="62">
        <f t="shared" si="25"/>
        <v>4.118873826903012E-2</v>
      </c>
      <c r="K156" s="62">
        <f t="shared" si="25"/>
        <v>4.1395623891189656E-3</v>
      </c>
      <c r="L156" s="62">
        <f t="shared" si="25"/>
        <v>2.4671052631579883E-3</v>
      </c>
      <c r="M156" s="62">
        <f t="shared" si="25"/>
        <v>1.3177901672579798E-2</v>
      </c>
      <c r="N156" s="62">
        <f t="shared" si="25"/>
        <v>2.9515938606847697E-3</v>
      </c>
      <c r="O156" s="62">
        <f t="shared" si="25"/>
        <v>4.8025613660619302E-3</v>
      </c>
      <c r="P156" s="62">
        <f t="shared" si="25"/>
        <v>1.0123734533183255E-2</v>
      </c>
      <c r="Q156" s="62">
        <f t="shared" si="25"/>
        <v>2.0418580908627142E-3</v>
      </c>
      <c r="R156" s="62">
        <f t="shared" si="25"/>
        <v>5.5279159756771697E-3</v>
      </c>
      <c r="S156" s="62">
        <f t="shared" si="25"/>
        <v>5.737234652897303E-3</v>
      </c>
      <c r="T156" s="62">
        <f t="shared" si="25"/>
        <v>6.1145080600333197E-3</v>
      </c>
      <c r="U156" s="62">
        <f t="shared" si="25"/>
        <v>1.0029498525073679E-2</v>
      </c>
      <c r="V156" s="62">
        <f t="shared" si="25"/>
        <v>5.5710306406685237E-3</v>
      </c>
      <c r="W156" s="62">
        <f t="shared" si="25"/>
        <v>5.30973451327437E-3</v>
      </c>
      <c r="X156" s="62">
        <f t="shared" si="25"/>
        <v>5.0618672665915477E-3</v>
      </c>
      <c r="Y156" s="62">
        <f t="shared" si="25"/>
        <v>3.6968576709796321E-3</v>
      </c>
      <c r="Z156" s="62">
        <f t="shared" si="25"/>
        <v>3.579952267303069E-3</v>
      </c>
      <c r="AA156" s="62">
        <f t="shared" si="25"/>
        <v>1.7331022530329948E-3</v>
      </c>
      <c r="AB156" s="62">
        <f t="shared" si="25"/>
        <v>7.021650087770559E-3</v>
      </c>
      <c r="AC156" s="63">
        <f t="shared" si="25"/>
        <v>4.7142015321155655E-3</v>
      </c>
      <c r="AD156" s="39"/>
    </row>
    <row r="157" spans="1:30" x14ac:dyDescent="0.25">
      <c r="A157" s="52" t="s">
        <v>34</v>
      </c>
      <c r="B157" s="2">
        <v>2022</v>
      </c>
      <c r="C157" s="2" t="s">
        <v>45</v>
      </c>
      <c r="D157" s="62">
        <f t="shared" ref="D157:AC157" si="26">IFERROR((D65-D64)/D64,0)</f>
        <v>1.3317191283293082E-2</v>
      </c>
      <c r="E157" s="62">
        <f t="shared" si="26"/>
        <v>-7.1123755334281651E-3</v>
      </c>
      <c r="F157" s="62">
        <f t="shared" si="26"/>
        <v>6.1439438267992974E-2</v>
      </c>
      <c r="G157" s="62">
        <f t="shared" si="26"/>
        <v>8.1919251023990971E-3</v>
      </c>
      <c r="H157" s="62">
        <f t="shared" si="26"/>
        <v>1.286863270777483E-2</v>
      </c>
      <c r="I157" s="62">
        <f t="shared" si="26"/>
        <v>-1.8925518925519063E-2</v>
      </c>
      <c r="J157" s="62">
        <f t="shared" si="26"/>
        <v>-8.3124687030545791E-2</v>
      </c>
      <c r="K157" s="62">
        <f t="shared" si="26"/>
        <v>4.1224970553591792E-3</v>
      </c>
      <c r="L157" s="62">
        <f t="shared" si="26"/>
        <v>1.640689089417462E-3</v>
      </c>
      <c r="M157" s="62">
        <f t="shared" si="26"/>
        <v>1.4507253626813434E-2</v>
      </c>
      <c r="N157" s="62">
        <f t="shared" si="26"/>
        <v>2.942907592701589E-3</v>
      </c>
      <c r="O157" s="62">
        <f t="shared" si="26"/>
        <v>6.3728093467869812E-3</v>
      </c>
      <c r="P157" s="62">
        <f t="shared" si="26"/>
        <v>-7.2383073496658295E-3</v>
      </c>
      <c r="Q157" s="62">
        <f t="shared" si="26"/>
        <v>3.0565461029036897E-3</v>
      </c>
      <c r="R157" s="62">
        <f t="shared" si="26"/>
        <v>6.5970313358987825E-3</v>
      </c>
      <c r="S157" s="62">
        <f t="shared" si="26"/>
        <v>5.1340559041641596E-3</v>
      </c>
      <c r="T157" s="62">
        <f t="shared" si="26"/>
        <v>6.0773480662983112E-3</v>
      </c>
      <c r="U157" s="62">
        <f t="shared" si="26"/>
        <v>3.5046728971963948E-3</v>
      </c>
      <c r="V157" s="62">
        <f t="shared" si="26"/>
        <v>4.4321329639889825E-3</v>
      </c>
      <c r="W157" s="62">
        <f t="shared" si="26"/>
        <v>5.8685446009389668E-3</v>
      </c>
      <c r="X157" s="62">
        <f t="shared" si="26"/>
        <v>6.1555679910465745E-3</v>
      </c>
      <c r="Y157" s="62">
        <f t="shared" si="26"/>
        <v>6.1387354205030267E-4</v>
      </c>
      <c r="Z157" s="62">
        <f t="shared" si="26"/>
        <v>1.7835909631391878E-3</v>
      </c>
      <c r="AA157" s="62">
        <f t="shared" si="26"/>
        <v>1.7301038062282753E-3</v>
      </c>
      <c r="AB157" s="62">
        <f t="shared" si="26"/>
        <v>8.7158628704241715E-3</v>
      </c>
      <c r="AC157" s="63">
        <f t="shared" si="26"/>
        <v>3.5190615835776792E-3</v>
      </c>
      <c r="AD157" s="39"/>
    </row>
    <row r="158" spans="1:30" x14ac:dyDescent="0.25">
      <c r="A158" s="52" t="s">
        <v>34</v>
      </c>
      <c r="B158" s="2">
        <v>2022</v>
      </c>
      <c r="C158" s="2" t="s">
        <v>46</v>
      </c>
      <c r="D158" s="62">
        <f t="shared" ref="D158:AC158" si="27">IFERROR((D66-D65)/D65,0)</f>
        <v>1.0752688172042909E-2</v>
      </c>
      <c r="E158" s="62">
        <f t="shared" si="27"/>
        <v>-1.9102196752626823E-3</v>
      </c>
      <c r="F158" s="62">
        <f t="shared" si="27"/>
        <v>4.8511576626240255E-2</v>
      </c>
      <c r="G158" s="62">
        <f t="shared" si="27"/>
        <v>7.5449796865930518E-3</v>
      </c>
      <c r="H158" s="62">
        <f t="shared" si="27"/>
        <v>-2.1175224986765785E-3</v>
      </c>
      <c r="I158" s="62">
        <f t="shared" si="27"/>
        <v>-1.6801493466085806E-2</v>
      </c>
      <c r="J158" s="62">
        <f t="shared" si="27"/>
        <v>-0.12670671764063349</v>
      </c>
      <c r="K158" s="62">
        <f t="shared" si="27"/>
        <v>1.7595307917889231E-3</v>
      </c>
      <c r="L158" s="62">
        <f t="shared" si="27"/>
        <v>-2.457002457002434E-3</v>
      </c>
      <c r="M158" s="62">
        <f t="shared" si="27"/>
        <v>1.1834319526627106E-2</v>
      </c>
      <c r="N158" s="62">
        <f t="shared" si="27"/>
        <v>3.521126760563347E-3</v>
      </c>
      <c r="O158" s="62">
        <f t="shared" si="27"/>
        <v>4.2216358839050729E-3</v>
      </c>
      <c r="P158" s="62">
        <f t="shared" si="27"/>
        <v>-1.3460459899046581E-2</v>
      </c>
      <c r="Q158" s="62">
        <f t="shared" si="27"/>
        <v>2.031488065007647E-3</v>
      </c>
      <c r="R158" s="62">
        <f t="shared" si="27"/>
        <v>4.9153468050246079E-3</v>
      </c>
      <c r="S158" s="62">
        <f t="shared" si="27"/>
        <v>4.5402951191828118E-3</v>
      </c>
      <c r="T158" s="62">
        <f t="shared" si="27"/>
        <v>4.9423393739703777E-3</v>
      </c>
      <c r="U158" s="62">
        <f t="shared" si="27"/>
        <v>-6.4027939464494921E-3</v>
      </c>
      <c r="V158" s="62">
        <f t="shared" si="27"/>
        <v>3.8610038610037982E-3</v>
      </c>
      <c r="W158" s="62">
        <f t="shared" si="27"/>
        <v>4.0840140023336562E-3</v>
      </c>
      <c r="X158" s="62">
        <f t="shared" si="27"/>
        <v>7.2302558398219295E-3</v>
      </c>
      <c r="Y158" s="62">
        <f t="shared" si="27"/>
        <v>2.4539877300613845E-3</v>
      </c>
      <c r="Z158" s="62">
        <f t="shared" si="27"/>
        <v>2.3738872403561168E-3</v>
      </c>
      <c r="AA158" s="62">
        <f t="shared" si="27"/>
        <v>2.3028209556707293E-3</v>
      </c>
      <c r="AB158" s="62">
        <f t="shared" si="27"/>
        <v>1.2672811059907932E-2</v>
      </c>
      <c r="AC158" s="63">
        <f t="shared" si="27"/>
        <v>5.2600818234950653E-3</v>
      </c>
      <c r="AD158" s="39"/>
    </row>
    <row r="159" spans="1:30" x14ac:dyDescent="0.25">
      <c r="A159" s="52" t="s">
        <v>34</v>
      </c>
      <c r="B159" s="2">
        <v>2023</v>
      </c>
      <c r="C159" s="2" t="s">
        <v>31</v>
      </c>
      <c r="D159" s="62">
        <f t="shared" ref="D159:AC159" si="28">IFERROR((D67-D66)/D66,0)</f>
        <v>2.7186761229314557E-2</v>
      </c>
      <c r="E159" s="62">
        <f t="shared" si="28"/>
        <v>8.1339712918659744E-3</v>
      </c>
      <c r="F159" s="62">
        <f t="shared" si="28"/>
        <v>2.2607781282860208E-2</v>
      </c>
      <c r="G159" s="62">
        <f t="shared" si="28"/>
        <v>5.7603686635944703E-3</v>
      </c>
      <c r="H159" s="62">
        <f t="shared" si="28"/>
        <v>-6.8965517241379917E-3</v>
      </c>
      <c r="I159" s="62">
        <f t="shared" si="28"/>
        <v>1.8987341772152618E-3</v>
      </c>
      <c r="J159" s="62">
        <f t="shared" si="28"/>
        <v>-3.7523452157598496E-2</v>
      </c>
      <c r="K159" s="62">
        <f t="shared" si="28"/>
        <v>5.854800936767817E-4</v>
      </c>
      <c r="L159" s="62">
        <f t="shared" si="28"/>
        <v>-5.7471264367816325E-3</v>
      </c>
      <c r="M159" s="62">
        <f t="shared" si="28"/>
        <v>1.5594541910331468E-2</v>
      </c>
      <c r="N159" s="62">
        <f t="shared" si="28"/>
        <v>2.339181286549741E-3</v>
      </c>
      <c r="O159" s="62">
        <f t="shared" si="28"/>
        <v>4.7293746715710832E-3</v>
      </c>
      <c r="P159" s="62">
        <f t="shared" si="28"/>
        <v>4.5480386583284984E-3</v>
      </c>
      <c r="Q159" s="62">
        <f t="shared" si="28"/>
        <v>4.5615813482005937E-3</v>
      </c>
      <c r="R159" s="62">
        <f t="shared" si="28"/>
        <v>4.8913043478261177E-3</v>
      </c>
      <c r="S159" s="62">
        <f t="shared" si="28"/>
        <v>3.3898305084745441E-3</v>
      </c>
      <c r="T159" s="62">
        <f t="shared" si="28"/>
        <v>4.3715846994536144E-3</v>
      </c>
      <c r="U159" s="62">
        <f t="shared" si="28"/>
        <v>8.201523140011751E-3</v>
      </c>
      <c r="V159" s="62">
        <f t="shared" si="28"/>
        <v>0</v>
      </c>
      <c r="W159" s="62">
        <f t="shared" si="28"/>
        <v>4.648460197559625E-3</v>
      </c>
      <c r="X159" s="62">
        <f t="shared" si="28"/>
        <v>6.6261733848703317E-3</v>
      </c>
      <c r="Y159" s="62">
        <f t="shared" si="28"/>
        <v>1.2239902080782657E-3</v>
      </c>
      <c r="Z159" s="62">
        <f t="shared" si="28"/>
        <v>3.5523978685612452E-3</v>
      </c>
      <c r="AA159" s="62">
        <f t="shared" si="28"/>
        <v>1.1487650775417408E-3</v>
      </c>
      <c r="AB159" s="62">
        <f t="shared" si="28"/>
        <v>1.5927189988623337E-2</v>
      </c>
      <c r="AC159" s="63">
        <f t="shared" si="28"/>
        <v>4.6511627906977403E-3</v>
      </c>
      <c r="AD159" s="39"/>
    </row>
    <row r="160" spans="1:30" x14ac:dyDescent="0.25">
      <c r="A160" s="52" t="s">
        <v>34</v>
      </c>
      <c r="B160" s="2">
        <v>2023</v>
      </c>
      <c r="C160" s="2" t="s">
        <v>35</v>
      </c>
      <c r="D160" s="62">
        <f t="shared" ref="D160:AC160" si="29">IFERROR((D68-D67)/D67,0)</f>
        <v>3.4522439585730398E-3</v>
      </c>
      <c r="E160" s="62">
        <f t="shared" si="29"/>
        <v>-1.423825344091125E-2</v>
      </c>
      <c r="F160" s="62">
        <f t="shared" si="29"/>
        <v>-9.9228791773778982E-2</v>
      </c>
      <c r="G160" s="62">
        <f t="shared" si="29"/>
        <v>1.5463917525773294E-2</v>
      </c>
      <c r="H160" s="62">
        <f t="shared" si="29"/>
        <v>-4.2200854700854579E-2</v>
      </c>
      <c r="I160" s="62">
        <f t="shared" si="29"/>
        <v>7.0751737207833149E-2</v>
      </c>
      <c r="J160" s="62">
        <f t="shared" si="29"/>
        <v>-7.7972709551658026E-3</v>
      </c>
      <c r="K160" s="62">
        <f t="shared" si="29"/>
        <v>5.8513750731418557E-4</v>
      </c>
      <c r="L160" s="62">
        <f t="shared" si="29"/>
        <v>-9.0834021469859156E-3</v>
      </c>
      <c r="M160" s="62">
        <f t="shared" si="29"/>
        <v>6.2380038387715112E-3</v>
      </c>
      <c r="N160" s="62">
        <f t="shared" si="29"/>
        <v>5.2508751458576761E-3</v>
      </c>
      <c r="O160" s="62">
        <f t="shared" si="29"/>
        <v>9.4142259414226534E-3</v>
      </c>
      <c r="P160" s="62">
        <f t="shared" si="29"/>
        <v>1.6977928692700134E-3</v>
      </c>
      <c r="Q160" s="62">
        <f t="shared" si="29"/>
        <v>6.5590312815338621E-3</v>
      </c>
      <c r="R160" s="62">
        <f t="shared" si="29"/>
        <v>7.0308274743103453E-3</v>
      </c>
      <c r="S160" s="62">
        <f t="shared" si="29"/>
        <v>6.1936936936936617E-3</v>
      </c>
      <c r="T160" s="62">
        <f t="shared" si="29"/>
        <v>7.0729053318823879E-3</v>
      </c>
      <c r="U160" s="62">
        <f t="shared" si="29"/>
        <v>8.1348053457292614E-3</v>
      </c>
      <c r="V160" s="62">
        <f t="shared" si="29"/>
        <v>5.4945054945051823E-4</v>
      </c>
      <c r="W160" s="62">
        <f t="shared" si="29"/>
        <v>7.5187969924811037E-3</v>
      </c>
      <c r="X160" s="62">
        <f t="shared" si="29"/>
        <v>1.1519473395501889E-2</v>
      </c>
      <c r="Y160" s="62">
        <f t="shared" si="29"/>
        <v>3.6674816625916523E-3</v>
      </c>
      <c r="Z160" s="62">
        <f t="shared" si="29"/>
        <v>4.7197640117994768E-3</v>
      </c>
      <c r="AA160" s="62">
        <f t="shared" si="29"/>
        <v>4.016064257028047E-3</v>
      </c>
      <c r="AB160" s="62">
        <f t="shared" si="29"/>
        <v>1.3437849944008991E-2</v>
      </c>
      <c r="AC160" s="63">
        <f t="shared" si="29"/>
        <v>7.5231481481480489E-3</v>
      </c>
      <c r="AD160" s="39"/>
    </row>
    <row r="161" spans="1:30" x14ac:dyDescent="0.25">
      <c r="A161" s="52" t="s">
        <v>34</v>
      </c>
      <c r="B161" s="2">
        <v>2023</v>
      </c>
      <c r="C161" s="2" t="s">
        <v>36</v>
      </c>
      <c r="D161" s="62">
        <f t="shared" ref="D161:AC161" si="30">IFERROR((D69-D68)/D68,0)</f>
        <v>0</v>
      </c>
      <c r="E161" s="62">
        <f t="shared" si="30"/>
        <v>0</v>
      </c>
      <c r="F161" s="62">
        <f t="shared" si="30"/>
        <v>0</v>
      </c>
      <c r="G161" s="62">
        <f t="shared" si="30"/>
        <v>0</v>
      </c>
      <c r="H161" s="62">
        <f t="shared" si="30"/>
        <v>-5.5772448410497898E-4</v>
      </c>
      <c r="I161" s="62">
        <f t="shared" si="30"/>
        <v>0</v>
      </c>
      <c r="J161" s="62">
        <f t="shared" si="30"/>
        <v>6.5487884741337755E-4</v>
      </c>
      <c r="K161" s="62">
        <f t="shared" si="30"/>
        <v>5.8479532163739363E-4</v>
      </c>
      <c r="L161" s="62">
        <f t="shared" si="30"/>
        <v>0</v>
      </c>
      <c r="M161" s="62">
        <f t="shared" si="30"/>
        <v>0</v>
      </c>
      <c r="N161" s="62">
        <f t="shared" si="30"/>
        <v>0</v>
      </c>
      <c r="O161" s="62">
        <f t="shared" si="30"/>
        <v>0</v>
      </c>
      <c r="P161" s="62">
        <f t="shared" si="30"/>
        <v>0</v>
      </c>
      <c r="Q161" s="62">
        <f t="shared" si="30"/>
        <v>0</v>
      </c>
      <c r="R161" s="62">
        <f t="shared" si="30"/>
        <v>-5.3705692803434116E-4</v>
      </c>
      <c r="S161" s="62">
        <f t="shared" si="30"/>
        <v>0</v>
      </c>
      <c r="T161" s="62">
        <f t="shared" si="30"/>
        <v>0</v>
      </c>
      <c r="U161" s="62">
        <f t="shared" si="30"/>
        <v>0</v>
      </c>
      <c r="V161" s="62">
        <f t="shared" si="30"/>
        <v>-1.0982976386600144E-3</v>
      </c>
      <c r="W161" s="62">
        <f t="shared" si="30"/>
        <v>0</v>
      </c>
      <c r="X161" s="62">
        <f t="shared" si="30"/>
        <v>0</v>
      </c>
      <c r="Y161" s="62">
        <f t="shared" si="30"/>
        <v>0</v>
      </c>
      <c r="Z161" s="62">
        <f t="shared" si="30"/>
        <v>0</v>
      </c>
      <c r="AA161" s="62">
        <f t="shared" si="30"/>
        <v>0</v>
      </c>
      <c r="AB161" s="62">
        <f t="shared" si="30"/>
        <v>0</v>
      </c>
      <c r="AC161" s="63">
        <f t="shared" si="30"/>
        <v>0</v>
      </c>
      <c r="AD161" s="39"/>
    </row>
    <row r="162" spans="1:30" x14ac:dyDescent="0.25">
      <c r="A162" s="52" t="s">
        <v>34</v>
      </c>
      <c r="B162" s="2">
        <v>2023</v>
      </c>
      <c r="C162" s="2" t="s">
        <v>37</v>
      </c>
      <c r="D162" s="62">
        <f t="shared" ref="D162:AC162" si="31">IFERROR((D70-D69)/D69,0)</f>
        <v>-3.4403669724770315E-3</v>
      </c>
      <c r="E162" s="62">
        <f t="shared" si="31"/>
        <v>7.7034183919115207E-3</v>
      </c>
      <c r="F162" s="62">
        <f t="shared" si="31"/>
        <v>-3.1963470319634674E-2</v>
      </c>
      <c r="G162" s="62">
        <f t="shared" si="31"/>
        <v>6.2041737168640398E-3</v>
      </c>
      <c r="H162" s="62">
        <f t="shared" si="31"/>
        <v>-2.3995535714285622E-2</v>
      </c>
      <c r="I162" s="62">
        <f t="shared" si="31"/>
        <v>4.0117994100295054E-2</v>
      </c>
      <c r="J162" s="62">
        <f t="shared" si="31"/>
        <v>1.7015706806282685E-2</v>
      </c>
      <c r="K162" s="62">
        <f t="shared" si="31"/>
        <v>1.3442431326709593E-2</v>
      </c>
      <c r="L162" s="62">
        <f t="shared" si="31"/>
        <v>1.0833333333333309E-2</v>
      </c>
      <c r="M162" s="62">
        <f t="shared" si="31"/>
        <v>1.5259895088221351E-2</v>
      </c>
      <c r="N162" s="62">
        <f t="shared" si="31"/>
        <v>3.4822983168891135E-3</v>
      </c>
      <c r="O162" s="62">
        <f t="shared" si="31"/>
        <v>2.5906735751295338E-3</v>
      </c>
      <c r="P162" s="62">
        <f t="shared" si="31"/>
        <v>5.0847457627118961E-3</v>
      </c>
      <c r="Q162" s="62">
        <f t="shared" si="31"/>
        <v>5.5137844611528536E-3</v>
      </c>
      <c r="R162" s="62">
        <f t="shared" si="31"/>
        <v>4.2987641053197816E-3</v>
      </c>
      <c r="S162" s="62">
        <f t="shared" si="31"/>
        <v>2.7979854504756579E-3</v>
      </c>
      <c r="T162" s="62">
        <f t="shared" si="31"/>
        <v>3.2414910858994833E-3</v>
      </c>
      <c r="U162" s="62">
        <f t="shared" si="31"/>
        <v>9.7982708933716921E-3</v>
      </c>
      <c r="V162" s="62">
        <f t="shared" si="31"/>
        <v>-1.0995052226499013E-3</v>
      </c>
      <c r="W162" s="62">
        <f t="shared" si="31"/>
        <v>2.2962112514351646E-3</v>
      </c>
      <c r="X162" s="62">
        <f t="shared" si="31"/>
        <v>3.2537960954446546E-3</v>
      </c>
      <c r="Y162" s="62">
        <f t="shared" si="31"/>
        <v>1.8270401948843567E-3</v>
      </c>
      <c r="Z162" s="62">
        <f t="shared" si="31"/>
        <v>2.3487962419258793E-3</v>
      </c>
      <c r="AA162" s="62">
        <f t="shared" si="31"/>
        <v>8.0000000000000331E-3</v>
      </c>
      <c r="AB162" s="62">
        <f t="shared" si="31"/>
        <v>1.6574585635359115E-2</v>
      </c>
      <c r="AC162" s="63">
        <f t="shared" si="31"/>
        <v>5.1694428489374254E-3</v>
      </c>
      <c r="AD162" s="39"/>
    </row>
    <row r="163" spans="1:30" x14ac:dyDescent="0.25">
      <c r="A163" s="52" t="s">
        <v>34</v>
      </c>
      <c r="B163" s="2">
        <v>2023</v>
      </c>
      <c r="C163" s="2" t="s">
        <v>38</v>
      </c>
      <c r="D163" s="62">
        <f t="shared" ref="D163:AC163" si="32">IFERROR((D71-D70)/D70,0)</f>
        <v>-5.7537399309564284E-4</v>
      </c>
      <c r="E163" s="62">
        <f t="shared" si="32"/>
        <v>2.3889154323936932E-2</v>
      </c>
      <c r="F163" s="62">
        <f t="shared" si="32"/>
        <v>2.122641509433959E-2</v>
      </c>
      <c r="G163" s="62">
        <f t="shared" si="32"/>
        <v>6.1659192825111791E-3</v>
      </c>
      <c r="H163" s="62">
        <f t="shared" si="32"/>
        <v>-2.801600914808465E-2</v>
      </c>
      <c r="I163" s="62">
        <f t="shared" si="32"/>
        <v>-2.32558139534885E-2</v>
      </c>
      <c r="J163" s="62">
        <f t="shared" si="32"/>
        <v>3.6036036036036001E-2</v>
      </c>
      <c r="K163" s="62">
        <f t="shared" si="32"/>
        <v>1.2687427912341341E-2</v>
      </c>
      <c r="L163" s="62">
        <f t="shared" si="32"/>
        <v>1.1541632316570533E-2</v>
      </c>
      <c r="M163" s="62">
        <f t="shared" si="32"/>
        <v>2.3954908407703118E-2</v>
      </c>
      <c r="N163" s="62">
        <f t="shared" si="32"/>
        <v>2.8918449971081549E-3</v>
      </c>
      <c r="O163" s="62">
        <f t="shared" si="32"/>
        <v>3.6175710594314658E-3</v>
      </c>
      <c r="P163" s="62">
        <f t="shared" si="32"/>
        <v>6.7453625632377095E-3</v>
      </c>
      <c r="Q163" s="62">
        <f t="shared" si="32"/>
        <v>1.9940179461615439E-3</v>
      </c>
      <c r="R163" s="62">
        <f t="shared" si="32"/>
        <v>2.1401819154628445E-3</v>
      </c>
      <c r="S163" s="62">
        <f t="shared" si="32"/>
        <v>2.7901785714285715E-3</v>
      </c>
      <c r="T163" s="62">
        <f t="shared" si="32"/>
        <v>2.6925148088314489E-3</v>
      </c>
      <c r="U163" s="62">
        <f t="shared" si="32"/>
        <v>2.2831050228310826E-3</v>
      </c>
      <c r="V163" s="62">
        <f t="shared" si="32"/>
        <v>6.0539350577876877E-3</v>
      </c>
      <c r="W163" s="62">
        <f t="shared" si="32"/>
        <v>3.4364261168384554E-3</v>
      </c>
      <c r="X163" s="62">
        <f t="shared" si="32"/>
        <v>3.7837837837837222E-3</v>
      </c>
      <c r="Y163" s="62">
        <f t="shared" si="32"/>
        <v>1.8237082066869992E-3</v>
      </c>
      <c r="Z163" s="62">
        <f t="shared" si="32"/>
        <v>2.9291154071470417E-3</v>
      </c>
      <c r="AA163" s="62">
        <f t="shared" si="32"/>
        <v>3.9682539682539038E-3</v>
      </c>
      <c r="AB163" s="62">
        <f t="shared" si="32"/>
        <v>6.5217391304347207E-3</v>
      </c>
      <c r="AC163" s="63">
        <f t="shared" si="32"/>
        <v>3.999999999999935E-3</v>
      </c>
      <c r="AD163" s="39"/>
    </row>
    <row r="164" spans="1:30" x14ac:dyDescent="0.25">
      <c r="A164" s="52" t="s">
        <v>33</v>
      </c>
      <c r="B164" s="2">
        <v>2021</v>
      </c>
      <c r="C164" s="2" t="s">
        <v>31</v>
      </c>
      <c r="D164" s="62">
        <f t="shared" ref="D164:AC164" si="33">IFERROR((D73-D72)/D72,0)</f>
        <v>-6.7114093959731542E-3</v>
      </c>
      <c r="E164" s="62">
        <f t="shared" si="33"/>
        <v>-4.5988758303524644E-3</v>
      </c>
      <c r="F164" s="62">
        <f t="shared" si="33"/>
        <v>5.6085249579357441E-4</v>
      </c>
      <c r="G164" s="62">
        <f t="shared" si="33"/>
        <v>1.2970168612193066E-3</v>
      </c>
      <c r="H164" s="62">
        <f t="shared" si="33"/>
        <v>2.4164889836531669E-2</v>
      </c>
      <c r="I164" s="62">
        <f t="shared" si="33"/>
        <v>1.9372077488309991E-2</v>
      </c>
      <c r="J164" s="62">
        <f t="shared" si="33"/>
        <v>-0.14155251141552508</v>
      </c>
      <c r="K164" s="62">
        <f t="shared" si="33"/>
        <v>3.7151702786377356E-3</v>
      </c>
      <c r="L164" s="62">
        <f t="shared" si="33"/>
        <v>-6.8317677198974991E-3</v>
      </c>
      <c r="M164" s="62">
        <f t="shared" si="33"/>
        <v>6.794317479925845E-3</v>
      </c>
      <c r="N164" s="62">
        <f t="shared" si="33"/>
        <v>1.8143754361479372E-2</v>
      </c>
      <c r="O164" s="62">
        <f t="shared" si="33"/>
        <v>6.6225165562913569E-3</v>
      </c>
      <c r="P164" s="62">
        <f t="shared" si="33"/>
        <v>-2.1556886227544876E-2</v>
      </c>
      <c r="Q164" s="62">
        <f t="shared" si="33"/>
        <v>8.4121976866457556E-3</v>
      </c>
      <c r="R164" s="62">
        <f t="shared" si="33"/>
        <v>3.9499670836075987E-3</v>
      </c>
      <c r="S164" s="62">
        <f t="shared" si="33"/>
        <v>4.389173372348374E-3</v>
      </c>
      <c r="T164" s="62">
        <f t="shared" si="33"/>
        <v>4.0106951871657377E-3</v>
      </c>
      <c r="U164" s="62">
        <f t="shared" si="33"/>
        <v>-4.4191919191920266E-3</v>
      </c>
      <c r="V164" s="62">
        <f t="shared" si="33"/>
        <v>3.6258158085569252E-2</v>
      </c>
      <c r="W164" s="62">
        <f t="shared" si="33"/>
        <v>1.374570446735317E-3</v>
      </c>
      <c r="X164" s="62">
        <f t="shared" si="33"/>
        <v>7.848266841072522E-3</v>
      </c>
      <c r="Y164" s="62">
        <f t="shared" si="33"/>
        <v>1.0332103321033253E-2</v>
      </c>
      <c r="Z164" s="62">
        <f t="shared" si="33"/>
        <v>7.6230076230075832E-3</v>
      </c>
      <c r="AA164" s="62">
        <f t="shared" si="33"/>
        <v>-5.0987890376036418E-3</v>
      </c>
      <c r="AB164" s="62">
        <f t="shared" si="33"/>
        <v>-1.2666244458519129E-3</v>
      </c>
      <c r="AC164" s="63">
        <f t="shared" si="33"/>
        <v>4.7651463580666341E-3</v>
      </c>
      <c r="AD164" s="39"/>
    </row>
    <row r="165" spans="1:30" x14ac:dyDescent="0.25">
      <c r="A165" s="52" t="s">
        <v>33</v>
      </c>
      <c r="B165" s="2">
        <v>2021</v>
      </c>
      <c r="C165" s="2" t="s">
        <v>35</v>
      </c>
      <c r="D165" s="62">
        <f t="shared" ref="D165:AC165" si="34">IFERROR((D74-D73)/D73,0)</f>
        <v>-2.702702702702741E-3</v>
      </c>
      <c r="E165" s="62">
        <f t="shared" si="34"/>
        <v>-1.8480492813141798E-2</v>
      </c>
      <c r="F165" s="62">
        <f t="shared" si="34"/>
        <v>-4.76457399103139E-2</v>
      </c>
      <c r="G165" s="62">
        <f t="shared" si="34"/>
        <v>4.5336787564766098E-3</v>
      </c>
      <c r="H165" s="62">
        <f t="shared" si="34"/>
        <v>5.0659264399722494E-2</v>
      </c>
      <c r="I165" s="62">
        <f t="shared" si="34"/>
        <v>9.1743119266055415E-3</v>
      </c>
      <c r="J165" s="62">
        <f t="shared" si="34"/>
        <v>-0.12862669245647979</v>
      </c>
      <c r="K165" s="62">
        <f t="shared" si="34"/>
        <v>-1.4188772362738945E-2</v>
      </c>
      <c r="L165" s="62">
        <f t="shared" si="34"/>
        <v>-1.2037833190025722E-2</v>
      </c>
      <c r="M165" s="62">
        <f t="shared" si="34"/>
        <v>-3.0674846625766872E-3</v>
      </c>
      <c r="N165" s="62">
        <f t="shared" si="34"/>
        <v>2.2618231665524215E-2</v>
      </c>
      <c r="O165" s="62">
        <f t="shared" si="34"/>
        <v>1.3157894736842209E-2</v>
      </c>
      <c r="P165" s="62">
        <f t="shared" si="34"/>
        <v>-1.5911872705018325E-2</v>
      </c>
      <c r="Q165" s="62">
        <f t="shared" si="34"/>
        <v>7.8206465067778928E-3</v>
      </c>
      <c r="R165" s="62">
        <f t="shared" si="34"/>
        <v>1.1147540983606484E-2</v>
      </c>
      <c r="S165" s="62">
        <f t="shared" si="34"/>
        <v>6.5549890750180419E-3</v>
      </c>
      <c r="T165" s="62">
        <f t="shared" si="34"/>
        <v>1.0652463382157275E-2</v>
      </c>
      <c r="U165" s="62">
        <f t="shared" si="34"/>
        <v>1.331642358909336E-2</v>
      </c>
      <c r="V165" s="62">
        <f t="shared" si="34"/>
        <v>4.3386983904828473E-2</v>
      </c>
      <c r="W165" s="62">
        <f t="shared" si="34"/>
        <v>5.4907343857241693E-3</v>
      </c>
      <c r="X165" s="62">
        <f t="shared" si="34"/>
        <v>1.4276443867618541E-2</v>
      </c>
      <c r="Y165" s="62">
        <f t="shared" si="34"/>
        <v>2.6296566837107335E-2</v>
      </c>
      <c r="Z165" s="62">
        <f t="shared" si="34"/>
        <v>1.3067400275103202E-2</v>
      </c>
      <c r="AA165" s="62">
        <f t="shared" si="34"/>
        <v>3.2030749519538757E-3</v>
      </c>
      <c r="AB165" s="62">
        <f t="shared" si="34"/>
        <v>-6.3411540900443885E-3</v>
      </c>
      <c r="AC165" s="63">
        <f t="shared" si="34"/>
        <v>1.1517615176151878E-2</v>
      </c>
      <c r="AD165" s="39"/>
    </row>
    <row r="166" spans="1:30" x14ac:dyDescent="0.25">
      <c r="A166" s="52" t="s">
        <v>33</v>
      </c>
      <c r="B166" s="2">
        <v>2021</v>
      </c>
      <c r="C166" s="2" t="s">
        <v>36</v>
      </c>
      <c r="D166" s="62">
        <f t="shared" ref="D166:AC166" si="35">IFERROR((D75-D74)/D74,0)</f>
        <v>-6.7750677506771219E-4</v>
      </c>
      <c r="E166" s="62">
        <f t="shared" si="35"/>
        <v>3.2949790794979138E-2</v>
      </c>
      <c r="F166" s="62">
        <f t="shared" si="35"/>
        <v>-3.0606238964096626E-2</v>
      </c>
      <c r="G166" s="62">
        <f t="shared" si="35"/>
        <v>3.2237266279819474E-3</v>
      </c>
      <c r="H166" s="62">
        <f t="shared" si="35"/>
        <v>3.3025099075297222E-2</v>
      </c>
      <c r="I166" s="62">
        <f t="shared" si="35"/>
        <v>2.1428571428571502E-2</v>
      </c>
      <c r="J166" s="62">
        <f t="shared" si="35"/>
        <v>-7.8246392896781328E-2</v>
      </c>
      <c r="K166" s="62">
        <f t="shared" si="35"/>
        <v>8.1351689612013944E-3</v>
      </c>
      <c r="L166" s="62">
        <f t="shared" si="35"/>
        <v>-5.2219321148825803E-3</v>
      </c>
      <c r="M166" s="62">
        <f t="shared" si="35"/>
        <v>6.1538461538458039E-4</v>
      </c>
      <c r="N166" s="62">
        <f t="shared" si="35"/>
        <v>1.0053619302949063E-2</v>
      </c>
      <c r="O166" s="62">
        <f t="shared" si="35"/>
        <v>5.3128689492326188E-3</v>
      </c>
      <c r="P166" s="62">
        <f t="shared" si="35"/>
        <v>-2.4875621890547614E-3</v>
      </c>
      <c r="Q166" s="62">
        <f t="shared" si="35"/>
        <v>1.034661148473816E-3</v>
      </c>
      <c r="R166" s="62">
        <f t="shared" si="35"/>
        <v>5.8365758754864187E-3</v>
      </c>
      <c r="S166" s="62">
        <f t="shared" si="35"/>
        <v>3.6179450072358903E-3</v>
      </c>
      <c r="T166" s="62">
        <f t="shared" si="35"/>
        <v>5.2700922266138532E-3</v>
      </c>
      <c r="U166" s="62">
        <f t="shared" si="35"/>
        <v>6.2578222778469526E-4</v>
      </c>
      <c r="V166" s="62">
        <f t="shared" si="35"/>
        <v>3.822937625754539E-2</v>
      </c>
      <c r="W166" s="62">
        <f t="shared" si="35"/>
        <v>4.7781569965869531E-3</v>
      </c>
      <c r="X166" s="62">
        <f t="shared" si="35"/>
        <v>3.8387715930901746E-3</v>
      </c>
      <c r="Y166" s="62">
        <f t="shared" si="35"/>
        <v>8.5409252669038337E-3</v>
      </c>
      <c r="Z166" s="62">
        <f t="shared" si="35"/>
        <v>8.8255261371349824E-3</v>
      </c>
      <c r="AA166" s="62">
        <f t="shared" si="35"/>
        <v>6.3856960408684551E-3</v>
      </c>
      <c r="AB166" s="62">
        <f t="shared" si="35"/>
        <v>-1.1486917677089873E-2</v>
      </c>
      <c r="AC166" s="63">
        <f t="shared" si="35"/>
        <v>4.6885465505692473E-3</v>
      </c>
      <c r="AD166" s="39"/>
    </row>
    <row r="167" spans="1:30" x14ac:dyDescent="0.25">
      <c r="A167" s="52" t="s">
        <v>33</v>
      </c>
      <c r="B167" s="2">
        <v>2021</v>
      </c>
      <c r="C167" s="2" t="s">
        <v>37</v>
      </c>
      <c r="D167" s="62">
        <f t="shared" ref="D167:AC167" si="36">IFERROR((D76-D75)/D75,0)</f>
        <v>6.779661016948767E-4</v>
      </c>
      <c r="E167" s="62">
        <f t="shared" si="36"/>
        <v>2.5316455696202531E-2</v>
      </c>
      <c r="F167" s="62">
        <f t="shared" si="36"/>
        <v>1.0321797207043213E-2</v>
      </c>
      <c r="G167" s="62">
        <f t="shared" si="36"/>
        <v>2.5706940874036356E-3</v>
      </c>
      <c r="H167" s="62">
        <f t="shared" si="36"/>
        <v>3.1969309462915603E-2</v>
      </c>
      <c r="I167" s="62">
        <f t="shared" si="36"/>
        <v>7.3108709472345837E-2</v>
      </c>
      <c r="J167" s="62">
        <f t="shared" si="36"/>
        <v>-2.7092113184828417E-2</v>
      </c>
      <c r="K167" s="62">
        <f t="shared" si="36"/>
        <v>1.0552451893234123E-2</v>
      </c>
      <c r="L167" s="62">
        <f t="shared" si="36"/>
        <v>4.3744531933508314E-3</v>
      </c>
      <c r="M167" s="62">
        <f t="shared" si="36"/>
        <v>1.2300123001231062E-3</v>
      </c>
      <c r="N167" s="62">
        <f t="shared" si="36"/>
        <v>5.308560053085676E-3</v>
      </c>
      <c r="O167" s="62">
        <f t="shared" si="36"/>
        <v>6.4591896652965016E-3</v>
      </c>
      <c r="P167" s="62">
        <f t="shared" si="36"/>
        <v>9.9750623441396159E-3</v>
      </c>
      <c r="Q167" s="62">
        <f t="shared" si="36"/>
        <v>4.6511627906977038E-3</v>
      </c>
      <c r="R167" s="62">
        <f t="shared" si="36"/>
        <v>5.1579626047711892E-3</v>
      </c>
      <c r="S167" s="62">
        <f t="shared" si="36"/>
        <v>4.3258832011537334E-3</v>
      </c>
      <c r="T167" s="62">
        <f t="shared" si="36"/>
        <v>5.242463958060363E-3</v>
      </c>
      <c r="U167" s="62">
        <f t="shared" si="36"/>
        <v>9.3808630393996239E-3</v>
      </c>
      <c r="V167" s="62">
        <f t="shared" si="36"/>
        <v>6.4599483204130694E-4</v>
      </c>
      <c r="W167" s="62">
        <f t="shared" si="36"/>
        <v>2.717391304347865E-3</v>
      </c>
      <c r="X167" s="62">
        <f t="shared" si="36"/>
        <v>3.8240917782026403E-3</v>
      </c>
      <c r="Y167" s="62">
        <f t="shared" si="36"/>
        <v>2.8228652081863496E-3</v>
      </c>
      <c r="Z167" s="62">
        <f t="shared" si="36"/>
        <v>3.3647375504710633E-3</v>
      </c>
      <c r="AA167" s="62">
        <f t="shared" si="36"/>
        <v>0</v>
      </c>
      <c r="AB167" s="62">
        <f t="shared" si="36"/>
        <v>1.0974822466107093E-2</v>
      </c>
      <c r="AC167" s="63">
        <f t="shared" si="36"/>
        <v>3.3333333333333335E-3</v>
      </c>
      <c r="AD167" s="39"/>
    </row>
    <row r="168" spans="1:30" x14ac:dyDescent="0.25">
      <c r="A168" s="52" t="s">
        <v>33</v>
      </c>
      <c r="B168" s="2">
        <v>2021</v>
      </c>
      <c r="C168" s="2" t="s">
        <v>38</v>
      </c>
      <c r="D168" s="62">
        <f t="shared" ref="D168:AC168" si="37">IFERROR((D77-D76)/D76,0)</f>
        <v>8.1300813008131235E-3</v>
      </c>
      <c r="E168" s="62">
        <f t="shared" si="37"/>
        <v>8.8888888888889444E-3</v>
      </c>
      <c r="F168" s="62">
        <f t="shared" si="37"/>
        <v>3.9663461538461502E-2</v>
      </c>
      <c r="G168" s="62">
        <f t="shared" si="37"/>
        <v>3.205128205128205E-3</v>
      </c>
      <c r="H168" s="62">
        <f t="shared" si="37"/>
        <v>4.5848822800495695E-2</v>
      </c>
      <c r="I168" s="62">
        <f t="shared" si="37"/>
        <v>2.1919431279620784E-2</v>
      </c>
      <c r="J168" s="62">
        <f t="shared" si="37"/>
        <v>3.0321782178217859E-2</v>
      </c>
      <c r="K168" s="62">
        <f t="shared" si="37"/>
        <v>1.9041769041769005E-2</v>
      </c>
      <c r="L168" s="62">
        <f t="shared" si="37"/>
        <v>9.5818815331011192E-3</v>
      </c>
      <c r="M168" s="62">
        <f t="shared" si="37"/>
        <v>1.4742014742014602E-2</v>
      </c>
      <c r="N168" s="62">
        <f t="shared" si="37"/>
        <v>3.3003300330033004E-3</v>
      </c>
      <c r="O168" s="62">
        <f t="shared" si="37"/>
        <v>-1.7502917152859472E-3</v>
      </c>
      <c r="P168" s="62">
        <f t="shared" si="37"/>
        <v>1.3580246913580177E-2</v>
      </c>
      <c r="Q168" s="62">
        <f t="shared" si="37"/>
        <v>1.9547325102880569E-2</v>
      </c>
      <c r="R168" s="62">
        <f t="shared" si="37"/>
        <v>3.8486209108402458E-3</v>
      </c>
      <c r="S168" s="62">
        <f t="shared" si="37"/>
        <v>6.4608758076093124E-3</v>
      </c>
      <c r="T168" s="62">
        <f t="shared" si="37"/>
        <v>4.5632333767926248E-3</v>
      </c>
      <c r="U168" s="62">
        <f t="shared" si="37"/>
        <v>1.2391573729862988E-3</v>
      </c>
      <c r="V168" s="62">
        <f t="shared" si="37"/>
        <v>3.8734667527436689E-3</v>
      </c>
      <c r="W168" s="62">
        <f t="shared" si="37"/>
        <v>1.6937669376693769E-2</v>
      </c>
      <c r="X168" s="62">
        <f t="shared" si="37"/>
        <v>1.841269841269845E-2</v>
      </c>
      <c r="Y168" s="62">
        <f t="shared" si="37"/>
        <v>2.0408163265306162E-2</v>
      </c>
      <c r="Z168" s="62">
        <f t="shared" si="37"/>
        <v>2.3474178403755871E-2</v>
      </c>
      <c r="AA168" s="62">
        <f t="shared" si="37"/>
        <v>-6.3451776649746192E-3</v>
      </c>
      <c r="AB168" s="62">
        <f t="shared" si="37"/>
        <v>5.7471264367816455E-3</v>
      </c>
      <c r="AC168" s="63">
        <f t="shared" si="37"/>
        <v>1.1960132890365524E-2</v>
      </c>
      <c r="AD168" s="39"/>
    </row>
    <row r="169" spans="1:30" x14ac:dyDescent="0.25">
      <c r="A169" s="52" t="s">
        <v>33</v>
      </c>
      <c r="B169" s="2">
        <v>2021</v>
      </c>
      <c r="C169" s="2" t="s">
        <v>39</v>
      </c>
      <c r="D169" s="62">
        <f t="shared" ref="D169:S192" si="38">IFERROR((D78-D77)/D77,0)</f>
        <v>2.6881720430105998E-3</v>
      </c>
      <c r="E169" s="62">
        <f t="shared" si="38"/>
        <v>5.8737151248163906E-3</v>
      </c>
      <c r="F169" s="62">
        <f t="shared" si="38"/>
        <v>5.6647398843930705E-2</v>
      </c>
      <c r="G169" s="62">
        <f t="shared" si="38"/>
        <v>0</v>
      </c>
      <c r="H169" s="62">
        <f t="shared" si="38"/>
        <v>2.0142180094786594E-2</v>
      </c>
      <c r="I169" s="62">
        <f t="shared" si="38"/>
        <v>-5.7971014492753624E-3</v>
      </c>
      <c r="J169" s="62">
        <f t="shared" si="38"/>
        <v>5.8258258258258193E-2</v>
      </c>
      <c r="K169" s="62">
        <f t="shared" si="38"/>
        <v>6.0277275467148879E-3</v>
      </c>
      <c r="L169" s="62">
        <f t="shared" si="38"/>
        <v>1.7256255392578829E-3</v>
      </c>
      <c r="M169" s="62">
        <f t="shared" si="38"/>
        <v>1.8159806295400206E-3</v>
      </c>
      <c r="N169" s="62">
        <f t="shared" si="38"/>
        <v>1.9736842105263904E-3</v>
      </c>
      <c r="O169" s="62">
        <f t="shared" si="38"/>
        <v>1.2857977790765734E-2</v>
      </c>
      <c r="P169" s="62">
        <f t="shared" si="38"/>
        <v>1.2180267965895251E-2</v>
      </c>
      <c r="Q169" s="62">
        <f t="shared" si="38"/>
        <v>-1.311806256306758E-2</v>
      </c>
      <c r="R169" s="62">
        <f t="shared" si="38"/>
        <v>5.1118210862620538E-3</v>
      </c>
      <c r="S169" s="62">
        <f t="shared" si="38"/>
        <v>2.1398002853067859E-3</v>
      </c>
      <c r="T169" s="62">
        <f t="shared" ref="T169:AC169" si="39">IFERROR((T78-T77)/T77,0)</f>
        <v>4.5425048669696108E-3</v>
      </c>
      <c r="U169" s="62">
        <f t="shared" si="39"/>
        <v>-6.8069306930692722E-3</v>
      </c>
      <c r="V169" s="62">
        <f t="shared" si="39"/>
        <v>3.8585209003215068E-3</v>
      </c>
      <c r="W169" s="62">
        <f t="shared" si="39"/>
        <v>-1.9986675549632442E-3</v>
      </c>
      <c r="X169" s="62">
        <f t="shared" si="39"/>
        <v>2.4937655860349482E-3</v>
      </c>
      <c r="Y169" s="62">
        <f t="shared" si="39"/>
        <v>1.7241379310344827E-2</v>
      </c>
      <c r="Z169" s="62">
        <f t="shared" si="39"/>
        <v>-1.2450851900393222E-2</v>
      </c>
      <c r="AA169" s="62">
        <f t="shared" si="39"/>
        <v>9.578544061302683E-3</v>
      </c>
      <c r="AB169" s="62">
        <f t="shared" si="39"/>
        <v>3.1746031746031746E-3</v>
      </c>
      <c r="AC169" s="63">
        <f t="shared" si="39"/>
        <v>7.2225869993433637E-3</v>
      </c>
      <c r="AD169" s="39"/>
    </row>
    <row r="170" spans="1:30" x14ac:dyDescent="0.25">
      <c r="A170" s="52" t="s">
        <v>33</v>
      </c>
      <c r="B170" s="2">
        <v>2021</v>
      </c>
      <c r="C170" s="2" t="s">
        <v>40</v>
      </c>
      <c r="D170" s="62">
        <f t="shared" si="38"/>
        <v>-6.7024128686323273E-4</v>
      </c>
      <c r="E170" s="62">
        <f t="shared" ref="E170:S170" si="40">IFERROR((E79-E78)/E78,0)</f>
        <v>2.6277372262773751E-2</v>
      </c>
      <c r="F170" s="62">
        <f t="shared" si="40"/>
        <v>1.2035010940918973E-2</v>
      </c>
      <c r="G170" s="62">
        <f t="shared" si="40"/>
        <v>1.0862619808306637E-2</v>
      </c>
      <c r="H170" s="62">
        <f t="shared" si="40"/>
        <v>-9.2915214866434049E-3</v>
      </c>
      <c r="I170" s="62">
        <f t="shared" si="40"/>
        <v>-3.4985422740524451E-3</v>
      </c>
      <c r="J170" s="62">
        <f t="shared" si="40"/>
        <v>5.7888762769580125E-2</v>
      </c>
      <c r="K170" s="62">
        <f t="shared" si="40"/>
        <v>-1.3181545835829939E-2</v>
      </c>
      <c r="L170" s="62">
        <f t="shared" si="40"/>
        <v>-3.4453057708870929E-3</v>
      </c>
      <c r="M170" s="62">
        <f t="shared" si="40"/>
        <v>0</v>
      </c>
      <c r="N170" s="62">
        <f t="shared" si="40"/>
        <v>7.2225869993433637E-3</v>
      </c>
      <c r="O170" s="62">
        <f t="shared" si="40"/>
        <v>1.1540680900172452E-3</v>
      </c>
      <c r="P170" s="62">
        <f t="shared" si="40"/>
        <v>1.0228640192539213E-2</v>
      </c>
      <c r="Q170" s="62">
        <f t="shared" si="40"/>
        <v>-5.1124744376275218E-4</v>
      </c>
      <c r="R170" s="62">
        <f t="shared" si="40"/>
        <v>3.8143674507310505E-3</v>
      </c>
      <c r="S170" s="62">
        <f t="shared" si="40"/>
        <v>9.9644128113879401E-3</v>
      </c>
      <c r="T170" s="62">
        <f t="shared" ref="T170:AC170" si="41">IFERROR((T79-T78)/T78,0)</f>
        <v>4.5219638242893316E-3</v>
      </c>
      <c r="U170" s="62">
        <f t="shared" si="41"/>
        <v>6.2305295950155761E-3</v>
      </c>
      <c r="V170" s="62">
        <f t="shared" si="41"/>
        <v>1.0249839846252367E-2</v>
      </c>
      <c r="W170" s="62">
        <f t="shared" si="41"/>
        <v>6.0080106809077246E-3</v>
      </c>
      <c r="X170" s="62">
        <f t="shared" si="41"/>
        <v>4.3532338308457002E-3</v>
      </c>
      <c r="Y170" s="62">
        <f t="shared" si="41"/>
        <v>1.3559322033898305E-2</v>
      </c>
      <c r="Z170" s="62">
        <f t="shared" si="41"/>
        <v>3.3178500331785005E-3</v>
      </c>
      <c r="AA170" s="62">
        <f t="shared" si="41"/>
        <v>1.3915243516761652E-2</v>
      </c>
      <c r="AB170" s="62">
        <f t="shared" si="41"/>
        <v>1.0126582278480976E-2</v>
      </c>
      <c r="AC170" s="63">
        <f t="shared" si="41"/>
        <v>1.0430247718383275E-2</v>
      </c>
      <c r="AD170" s="39"/>
    </row>
    <row r="171" spans="1:30" x14ac:dyDescent="0.25">
      <c r="A171" s="52" t="s">
        <v>33</v>
      </c>
      <c r="B171" s="2">
        <v>2021</v>
      </c>
      <c r="C171" s="2" t="s">
        <v>41</v>
      </c>
      <c r="D171" s="62">
        <f t="shared" si="38"/>
        <v>1.3413816230718784E-3</v>
      </c>
      <c r="E171" s="62">
        <f t="shared" si="38"/>
        <v>-1.6595542911332386E-2</v>
      </c>
      <c r="F171" s="62">
        <f t="shared" si="38"/>
        <v>-5.8918918918918949E-2</v>
      </c>
      <c r="G171" s="62">
        <f t="shared" si="38"/>
        <v>6.3211125158027818E-3</v>
      </c>
      <c r="H171" s="62">
        <f t="shared" si="38"/>
        <v>2.5791324736225123E-2</v>
      </c>
      <c r="I171" s="62">
        <f t="shared" si="38"/>
        <v>-5.6173200702164972E-2</v>
      </c>
      <c r="J171" s="62">
        <f t="shared" si="38"/>
        <v>-1.6630901287553616E-2</v>
      </c>
      <c r="K171" s="62">
        <f t="shared" si="38"/>
        <v>-1.2143290831814733E-3</v>
      </c>
      <c r="L171" s="62">
        <f t="shared" si="38"/>
        <v>4.0622299049265363E-2</v>
      </c>
      <c r="M171" s="62">
        <f t="shared" si="38"/>
        <v>4.2296072507552185E-3</v>
      </c>
      <c r="N171" s="62">
        <f t="shared" si="38"/>
        <v>9.1264667535854351E-3</v>
      </c>
      <c r="O171" s="62">
        <f t="shared" si="38"/>
        <v>9.2219020172910338E-3</v>
      </c>
      <c r="P171" s="62">
        <f t="shared" si="38"/>
        <v>-3.573555687909436E-3</v>
      </c>
      <c r="Q171" s="62">
        <f t="shared" si="38"/>
        <v>5.1150895140664966E-3</v>
      </c>
      <c r="R171" s="62">
        <f t="shared" si="38"/>
        <v>1.2032932235592183E-2</v>
      </c>
      <c r="S171" s="62">
        <f t="shared" si="38"/>
        <v>1.1980267794221202E-2</v>
      </c>
      <c r="T171" s="62">
        <f t="shared" ref="T171:AC171" si="42">IFERROR((T80-T79)/T79,0)</f>
        <v>1.1575562700964704E-2</v>
      </c>
      <c r="U171" s="62">
        <f t="shared" si="42"/>
        <v>3.7151702786377356E-3</v>
      </c>
      <c r="V171" s="62">
        <f t="shared" si="42"/>
        <v>1.9023462270133167E-2</v>
      </c>
      <c r="W171" s="62">
        <f t="shared" si="42"/>
        <v>1.6589250165892504E-2</v>
      </c>
      <c r="X171" s="62">
        <f t="shared" si="42"/>
        <v>8.049535603715241E-3</v>
      </c>
      <c r="Y171" s="62">
        <f t="shared" si="42"/>
        <v>6.020066889632145E-3</v>
      </c>
      <c r="Z171" s="62">
        <f t="shared" si="42"/>
        <v>1.6534391534391537E-2</v>
      </c>
      <c r="AA171" s="62">
        <f t="shared" si="42"/>
        <v>6.238303181534268E-4</v>
      </c>
      <c r="AB171" s="62">
        <f t="shared" si="42"/>
        <v>0</v>
      </c>
      <c r="AC171" s="63">
        <f t="shared" si="42"/>
        <v>6.4516129032258064E-3</v>
      </c>
      <c r="AD171" s="39"/>
    </row>
    <row r="172" spans="1:30" x14ac:dyDescent="0.25">
      <c r="A172" s="52" t="s">
        <v>33</v>
      </c>
      <c r="B172" s="2">
        <v>2021</v>
      </c>
      <c r="C172" s="2" t="s">
        <v>42</v>
      </c>
      <c r="D172" s="62">
        <f t="shared" si="38"/>
        <v>0</v>
      </c>
      <c r="E172" s="62">
        <f t="shared" si="38"/>
        <v>0</v>
      </c>
      <c r="F172" s="62">
        <f t="shared" si="38"/>
        <v>0</v>
      </c>
      <c r="G172" s="62">
        <f t="shared" si="38"/>
        <v>-6.2814070351755228E-4</v>
      </c>
      <c r="H172" s="62">
        <f t="shared" si="38"/>
        <v>0</v>
      </c>
      <c r="I172" s="62">
        <f t="shared" si="38"/>
        <v>-6.1996280223200701E-4</v>
      </c>
      <c r="J172" s="62">
        <f t="shared" si="38"/>
        <v>1.0911074740861354E-3</v>
      </c>
      <c r="K172" s="62">
        <f t="shared" si="38"/>
        <v>0</v>
      </c>
      <c r="L172" s="62">
        <f t="shared" si="38"/>
        <v>0</v>
      </c>
      <c r="M172" s="62">
        <f t="shared" si="38"/>
        <v>0</v>
      </c>
      <c r="N172" s="62">
        <f t="shared" si="38"/>
        <v>0</v>
      </c>
      <c r="O172" s="62">
        <f t="shared" si="38"/>
        <v>0</v>
      </c>
      <c r="P172" s="62">
        <f t="shared" si="38"/>
        <v>0</v>
      </c>
      <c r="Q172" s="62">
        <f t="shared" si="38"/>
        <v>0</v>
      </c>
      <c r="R172" s="62">
        <f t="shared" si="38"/>
        <v>0</v>
      </c>
      <c r="S172" s="62">
        <f t="shared" si="38"/>
        <v>0</v>
      </c>
      <c r="T172" s="62">
        <f t="shared" ref="T172:AC172" si="43">IFERROR((T81-T80)/T80,0)</f>
        <v>6.3572790845514498E-4</v>
      </c>
      <c r="U172" s="62">
        <f t="shared" si="43"/>
        <v>0</v>
      </c>
      <c r="V172" s="62">
        <f t="shared" si="43"/>
        <v>6.2227753578109979E-4</v>
      </c>
      <c r="W172" s="62">
        <f t="shared" si="43"/>
        <v>6.5274151436046175E-4</v>
      </c>
      <c r="X172" s="62">
        <f t="shared" si="43"/>
        <v>0</v>
      </c>
      <c r="Y172" s="62">
        <f t="shared" si="43"/>
        <v>6.6489361702123874E-4</v>
      </c>
      <c r="Z172" s="62">
        <f t="shared" si="43"/>
        <v>1.3012361743657585E-3</v>
      </c>
      <c r="AA172" s="62">
        <f t="shared" si="43"/>
        <v>-6.2344139650869271E-4</v>
      </c>
      <c r="AB172" s="62">
        <f t="shared" si="43"/>
        <v>0</v>
      </c>
      <c r="AC172" s="63">
        <f t="shared" si="43"/>
        <v>0</v>
      </c>
      <c r="AD172" s="39"/>
    </row>
    <row r="173" spans="1:30" x14ac:dyDescent="0.25">
      <c r="A173" s="52" t="s">
        <v>33</v>
      </c>
      <c r="B173" s="2">
        <v>2021</v>
      </c>
      <c r="C173" s="2" t="s">
        <v>43</v>
      </c>
      <c r="D173" s="62">
        <f t="shared" si="38"/>
        <v>5.358338914936255E-3</v>
      </c>
      <c r="E173" s="62">
        <f t="shared" si="38"/>
        <v>4.8216007714561235E-3</v>
      </c>
      <c r="F173" s="62">
        <f t="shared" si="38"/>
        <v>-6.3182079264790022E-3</v>
      </c>
      <c r="G173" s="62">
        <f t="shared" si="38"/>
        <v>6.2853551225640683E-4</v>
      </c>
      <c r="H173" s="62">
        <f t="shared" si="38"/>
        <v>9.1428571428571106E-3</v>
      </c>
      <c r="I173" s="62">
        <f t="shared" si="38"/>
        <v>-1.1786600496277775E-2</v>
      </c>
      <c r="J173" s="62">
        <f t="shared" si="38"/>
        <v>0.16839237057220713</v>
      </c>
      <c r="K173" s="62">
        <f t="shared" si="38"/>
        <v>4.8632218844985491E-3</v>
      </c>
      <c r="L173" s="62">
        <f t="shared" si="38"/>
        <v>1.744186046511623E-2</v>
      </c>
      <c r="M173" s="62">
        <f t="shared" si="38"/>
        <v>3.6101083032492346E-3</v>
      </c>
      <c r="N173" s="62">
        <f t="shared" si="38"/>
        <v>3.8759689922480251E-3</v>
      </c>
      <c r="O173" s="62">
        <f t="shared" si="38"/>
        <v>4.5688178183895568E-3</v>
      </c>
      <c r="P173" s="62">
        <f t="shared" si="38"/>
        <v>2.5104602510460181E-2</v>
      </c>
      <c r="Q173" s="62">
        <f t="shared" si="38"/>
        <v>2.5445292620865142E-3</v>
      </c>
      <c r="R173" s="62">
        <f t="shared" si="38"/>
        <v>6.2578222778473091E-3</v>
      </c>
      <c r="S173" s="62">
        <f t="shared" si="38"/>
        <v>5.5710306406686035E-3</v>
      </c>
      <c r="T173" s="62">
        <f t="shared" ref="T173:AC173" si="44">IFERROR((T82-T81)/T81,0)</f>
        <v>5.7179161372300233E-3</v>
      </c>
      <c r="U173" s="62">
        <f t="shared" si="44"/>
        <v>9.2535471930906849E-3</v>
      </c>
      <c r="V173" s="62">
        <f t="shared" si="44"/>
        <v>8.7064676616914003E-3</v>
      </c>
      <c r="W173" s="62">
        <f t="shared" si="44"/>
        <v>6.5231572080887146E-3</v>
      </c>
      <c r="X173" s="62">
        <f t="shared" si="44"/>
        <v>4.2997542997542295E-3</v>
      </c>
      <c r="Y173" s="62">
        <f t="shared" si="44"/>
        <v>1.1295681063122847E-2</v>
      </c>
      <c r="Z173" s="62">
        <f t="shared" si="44"/>
        <v>7.7972709551656178E-3</v>
      </c>
      <c r="AA173" s="62">
        <f t="shared" si="44"/>
        <v>0</v>
      </c>
      <c r="AB173" s="62">
        <f t="shared" si="44"/>
        <v>4.3859649122808091E-3</v>
      </c>
      <c r="AC173" s="63">
        <f t="shared" si="44"/>
        <v>6.41025641025641E-3</v>
      </c>
      <c r="AD173" s="39"/>
    </row>
    <row r="174" spans="1:30" x14ac:dyDescent="0.25">
      <c r="A174" s="52" t="s">
        <v>33</v>
      </c>
      <c r="B174" s="2">
        <v>2021</v>
      </c>
      <c r="C174" s="2" t="s">
        <v>45</v>
      </c>
      <c r="D174" s="62">
        <f t="shared" si="38"/>
        <v>5.9960026648901111E-3</v>
      </c>
      <c r="E174" s="62">
        <f t="shared" si="38"/>
        <v>-1.6794625719769675E-2</v>
      </c>
      <c r="F174" s="62">
        <f t="shared" si="38"/>
        <v>1.3872832369942229E-2</v>
      </c>
      <c r="G174" s="62">
        <f t="shared" si="38"/>
        <v>2.5125628140703878E-3</v>
      </c>
      <c r="H174" s="62">
        <f t="shared" si="38"/>
        <v>-4.5300113250282157E-3</v>
      </c>
      <c r="I174" s="62">
        <f t="shared" si="38"/>
        <v>6.2774639045825482E-3</v>
      </c>
      <c r="J174" s="62">
        <f t="shared" si="38"/>
        <v>6.8563432835820837E-2</v>
      </c>
      <c r="K174" s="62">
        <f t="shared" si="38"/>
        <v>-1.2099213551120208E-3</v>
      </c>
      <c r="L174" s="62">
        <f t="shared" si="38"/>
        <v>4.8979591836734232E-3</v>
      </c>
      <c r="M174" s="62">
        <f t="shared" si="38"/>
        <v>2.3980815347720459E-3</v>
      </c>
      <c r="N174" s="62">
        <f t="shared" si="38"/>
        <v>4.5045045045044316E-3</v>
      </c>
      <c r="O174" s="62">
        <f t="shared" si="38"/>
        <v>5.1165434906197023E-3</v>
      </c>
      <c r="P174" s="62">
        <f t="shared" si="38"/>
        <v>1.1661807580174927E-2</v>
      </c>
      <c r="Q174" s="62">
        <f t="shared" si="38"/>
        <v>0</v>
      </c>
      <c r="R174" s="62">
        <f t="shared" si="38"/>
        <v>9.3283582089552231E-3</v>
      </c>
      <c r="S174" s="62">
        <f t="shared" si="38"/>
        <v>6.2326869806094577E-3</v>
      </c>
      <c r="T174" s="62">
        <f t="shared" ref="T174:AC174" si="45">IFERROR((T83-T82)/T82,0)</f>
        <v>8.84396715097901E-3</v>
      </c>
      <c r="U174" s="62">
        <f t="shared" si="45"/>
        <v>3.6674816625916523E-3</v>
      </c>
      <c r="V174" s="62">
        <f t="shared" si="45"/>
        <v>-3.6991368680640837E-3</v>
      </c>
      <c r="W174" s="62">
        <f t="shared" si="45"/>
        <v>5.8327932598831967E-3</v>
      </c>
      <c r="X174" s="62">
        <f t="shared" si="45"/>
        <v>4.281345565749166E-3</v>
      </c>
      <c r="Y174" s="62">
        <f t="shared" si="45"/>
        <v>-6.5703022339027601E-3</v>
      </c>
      <c r="Z174" s="62">
        <f t="shared" si="45"/>
        <v>1.0315925209542194E-2</v>
      </c>
      <c r="AA174" s="62">
        <f t="shared" si="45"/>
        <v>3.1191515907673111E-3</v>
      </c>
      <c r="AB174" s="62">
        <f t="shared" si="45"/>
        <v>9.3574547723019336E-3</v>
      </c>
      <c r="AC174" s="63">
        <f t="shared" si="45"/>
        <v>1.9108280254777794E-3</v>
      </c>
      <c r="AD174" s="39"/>
    </row>
    <row r="175" spans="1:30" x14ac:dyDescent="0.25">
      <c r="A175" s="52" t="s">
        <v>33</v>
      </c>
      <c r="B175" s="2">
        <v>2021</v>
      </c>
      <c r="C175" s="2" t="s">
        <v>46</v>
      </c>
      <c r="D175" s="62">
        <f t="shared" si="38"/>
        <v>3.9735099337747971E-3</v>
      </c>
      <c r="E175" s="62">
        <f t="shared" si="38"/>
        <v>-1.3177159590044007E-2</v>
      </c>
      <c r="F175" s="62">
        <f t="shared" si="38"/>
        <v>2.6225769669327218E-2</v>
      </c>
      <c r="G175" s="62">
        <f t="shared" si="38"/>
        <v>2.5062656641604369E-3</v>
      </c>
      <c r="H175" s="62">
        <f t="shared" si="38"/>
        <v>-1.3083048919226457E-2</v>
      </c>
      <c r="I175" s="62">
        <f t="shared" si="38"/>
        <v>-1.2476606363069244E-2</v>
      </c>
      <c r="J175" s="62">
        <f t="shared" si="38"/>
        <v>-4.1903099083369685E-2</v>
      </c>
      <c r="K175" s="62">
        <f t="shared" si="38"/>
        <v>-5.4512416717141469E-3</v>
      </c>
      <c r="L175" s="62">
        <f t="shared" si="38"/>
        <v>-9.748172217709088E-3</v>
      </c>
      <c r="M175" s="62">
        <f t="shared" si="38"/>
        <v>5.9808612440191387E-3</v>
      </c>
      <c r="N175" s="62">
        <f t="shared" si="38"/>
        <v>2.5624599615631373E-3</v>
      </c>
      <c r="O175" s="62">
        <f t="shared" si="38"/>
        <v>7.9185520361989663E-3</v>
      </c>
      <c r="P175" s="62">
        <f t="shared" si="38"/>
        <v>-7.4927953890490569E-3</v>
      </c>
      <c r="Q175" s="62">
        <f t="shared" si="38"/>
        <v>-1.0152284263958815E-3</v>
      </c>
      <c r="R175" s="62">
        <f t="shared" si="38"/>
        <v>6.1614294516327784E-3</v>
      </c>
      <c r="S175" s="62">
        <f t="shared" si="38"/>
        <v>9.6352374397796082E-3</v>
      </c>
      <c r="T175" s="62">
        <f t="shared" ref="T175:AC175" si="46">IFERROR((T84-T83)/T83,0)</f>
        <v>6.261740763932374E-3</v>
      </c>
      <c r="U175" s="62">
        <f t="shared" si="46"/>
        <v>-4.8721071863579964E-3</v>
      </c>
      <c r="V175" s="62">
        <f t="shared" si="46"/>
        <v>6.1881188118808369E-4</v>
      </c>
      <c r="W175" s="62">
        <f t="shared" si="46"/>
        <v>5.1546391752578056E-3</v>
      </c>
      <c r="X175" s="62">
        <f t="shared" si="46"/>
        <v>5.4811205846528972E-3</v>
      </c>
      <c r="Y175" s="62">
        <f t="shared" si="46"/>
        <v>3.968253968254119E-3</v>
      </c>
      <c r="Z175" s="62">
        <f t="shared" si="46"/>
        <v>5.7434588385450267E-3</v>
      </c>
      <c r="AA175" s="62">
        <f t="shared" si="46"/>
        <v>-1.2437810945274692E-3</v>
      </c>
      <c r="AB175" s="62">
        <f t="shared" si="46"/>
        <v>3.7082818294190004E-3</v>
      </c>
      <c r="AC175" s="63">
        <f t="shared" si="46"/>
        <v>3.1786395422759056E-3</v>
      </c>
      <c r="AD175" s="39"/>
    </row>
    <row r="176" spans="1:30" x14ac:dyDescent="0.25">
      <c r="A176" s="52" t="s">
        <v>33</v>
      </c>
      <c r="B176" s="2">
        <v>2022</v>
      </c>
      <c r="C176" s="2" t="s">
        <v>31</v>
      </c>
      <c r="D176" s="62">
        <f t="shared" si="38"/>
        <v>3.9577836411609129E-3</v>
      </c>
      <c r="E176" s="62">
        <f t="shared" si="38"/>
        <v>-4.9455984174082254E-4</v>
      </c>
      <c r="F176" s="62">
        <f t="shared" si="38"/>
        <v>5.55555555555524E-4</v>
      </c>
      <c r="G176" s="62">
        <f t="shared" si="38"/>
        <v>2.5000000000000356E-3</v>
      </c>
      <c r="H176" s="62">
        <f t="shared" si="38"/>
        <v>-1.4409221902017291E-2</v>
      </c>
      <c r="I176" s="62">
        <f t="shared" si="38"/>
        <v>-1.137081490840184E-2</v>
      </c>
      <c r="J176" s="62">
        <f t="shared" si="38"/>
        <v>-7.2437357630979526E-2</v>
      </c>
      <c r="K176" s="62">
        <f t="shared" si="38"/>
        <v>-2.4360535931789115E-3</v>
      </c>
      <c r="L176" s="62">
        <f t="shared" si="38"/>
        <v>-4.9220672682527356E-3</v>
      </c>
      <c r="M176" s="62">
        <f t="shared" si="38"/>
        <v>9.51248513674211E-3</v>
      </c>
      <c r="N176" s="62">
        <f t="shared" si="38"/>
        <v>6.389776357827113E-4</v>
      </c>
      <c r="O176" s="62">
        <f t="shared" si="38"/>
        <v>4.4893378226712197E-3</v>
      </c>
      <c r="P176" s="62">
        <f t="shared" si="38"/>
        <v>-1.1033681765388952E-2</v>
      </c>
      <c r="Q176" s="62">
        <f t="shared" si="38"/>
        <v>-2.0325203252032809E-3</v>
      </c>
      <c r="R176" s="62">
        <f t="shared" si="38"/>
        <v>8.5731781996324381E-3</v>
      </c>
      <c r="S176" s="62">
        <f t="shared" si="38"/>
        <v>1.2269938650306827E-2</v>
      </c>
      <c r="T176" s="62">
        <f t="shared" ref="T176:AC176" si="47">IFERROR((T85-T84)/T84,0)</f>
        <v>9.3341630367143758E-3</v>
      </c>
      <c r="U176" s="62">
        <f t="shared" si="47"/>
        <v>6.7319461444308093E-3</v>
      </c>
      <c r="V176" s="62">
        <f t="shared" si="47"/>
        <v>-6.184291898577262E-4</v>
      </c>
      <c r="W176" s="62">
        <f t="shared" si="47"/>
        <v>5.1282051282052011E-3</v>
      </c>
      <c r="X176" s="62">
        <f t="shared" si="47"/>
        <v>6.0569351907934586E-3</v>
      </c>
      <c r="Y176" s="62">
        <f t="shared" si="47"/>
        <v>5.928853754940561E-3</v>
      </c>
      <c r="Z176" s="62">
        <f t="shared" si="47"/>
        <v>5.0761421319797679E-3</v>
      </c>
      <c r="AA176" s="62">
        <f t="shared" si="47"/>
        <v>2.4906600249066358E-3</v>
      </c>
      <c r="AB176" s="62">
        <f t="shared" si="47"/>
        <v>2.4630541871921529E-3</v>
      </c>
      <c r="AC176" s="63">
        <f t="shared" si="47"/>
        <v>5.069708491761615E-3</v>
      </c>
      <c r="AD176" s="39"/>
    </row>
    <row r="177" spans="1:30" x14ac:dyDescent="0.25">
      <c r="A177" s="52" t="s">
        <v>33</v>
      </c>
      <c r="B177" s="2">
        <v>2022</v>
      </c>
      <c r="C177" s="2" t="s">
        <v>35</v>
      </c>
      <c r="D177" s="62">
        <f t="shared" si="38"/>
        <v>1.9710906701709027E-3</v>
      </c>
      <c r="E177" s="62">
        <f t="shared" si="38"/>
        <v>1.5338941118258261E-2</v>
      </c>
      <c r="F177" s="62">
        <f t="shared" si="38"/>
        <v>-2.0544142143253685E-2</v>
      </c>
      <c r="G177" s="62">
        <f t="shared" si="38"/>
        <v>1.2468827930173854E-3</v>
      </c>
      <c r="H177" s="62">
        <f t="shared" si="38"/>
        <v>2.9239766081871343E-3</v>
      </c>
      <c r="I177" s="62">
        <f t="shared" si="38"/>
        <v>-6.389776357827113E-4</v>
      </c>
      <c r="J177" s="62">
        <f t="shared" si="38"/>
        <v>-2.7504911591355572E-2</v>
      </c>
      <c r="K177" s="62">
        <f t="shared" si="38"/>
        <v>-3.6630036630038013E-3</v>
      </c>
      <c r="L177" s="62">
        <f t="shared" si="38"/>
        <v>-5.7708161582852666E-3</v>
      </c>
      <c r="M177" s="62">
        <f t="shared" si="38"/>
        <v>1.4134275618374423E-2</v>
      </c>
      <c r="N177" s="62">
        <f t="shared" si="38"/>
        <v>6.3856960408680918E-4</v>
      </c>
      <c r="O177" s="62">
        <f t="shared" si="38"/>
        <v>5.5865921787709499E-3</v>
      </c>
      <c r="P177" s="62">
        <f t="shared" si="38"/>
        <v>-5.8719906048163668E-4</v>
      </c>
      <c r="Q177" s="62">
        <f t="shared" si="38"/>
        <v>5.0916496945007284E-4</v>
      </c>
      <c r="R177" s="62">
        <f t="shared" si="38"/>
        <v>6.0716454159077116E-3</v>
      </c>
      <c r="S177" s="62">
        <f t="shared" si="38"/>
        <v>1.2794612794612832E-2</v>
      </c>
      <c r="T177" s="62">
        <f t="shared" ref="T177:AC177" si="48">IFERROR((T86-T85)/T85,0)</f>
        <v>7.3982737361283427E-3</v>
      </c>
      <c r="U177" s="62">
        <f t="shared" si="48"/>
        <v>6.0790273556231003E-3</v>
      </c>
      <c r="V177" s="62">
        <f t="shared" si="48"/>
        <v>8.6633663366336988E-3</v>
      </c>
      <c r="W177" s="62">
        <f t="shared" si="48"/>
        <v>3.8265306122448614E-3</v>
      </c>
      <c r="X177" s="62">
        <f t="shared" si="48"/>
        <v>6.6225165562913569E-3</v>
      </c>
      <c r="Y177" s="62">
        <f t="shared" si="48"/>
        <v>2.6195153896529516E-3</v>
      </c>
      <c r="Z177" s="62">
        <f t="shared" si="48"/>
        <v>6.9444444444444085E-3</v>
      </c>
      <c r="AA177" s="62">
        <f t="shared" si="48"/>
        <v>6.2111801242236021E-3</v>
      </c>
      <c r="AB177" s="62">
        <f t="shared" si="48"/>
        <v>8.599508599508459E-3</v>
      </c>
      <c r="AC177" s="63">
        <f t="shared" si="48"/>
        <v>5.0441361916772473E-3</v>
      </c>
      <c r="AD177" s="39"/>
    </row>
    <row r="178" spans="1:30" x14ac:dyDescent="0.25">
      <c r="A178" s="52" t="s">
        <v>33</v>
      </c>
      <c r="B178" s="2">
        <v>2022</v>
      </c>
      <c r="C178" s="2" t="s">
        <v>36</v>
      </c>
      <c r="D178" s="62">
        <f t="shared" si="38"/>
        <v>7.8688524590163188E-3</v>
      </c>
      <c r="E178" s="62">
        <f t="shared" si="38"/>
        <v>5.1656920077972825E-2</v>
      </c>
      <c r="F178" s="62">
        <f t="shared" si="38"/>
        <v>-4.9319727891156559E-2</v>
      </c>
      <c r="G178" s="62">
        <f t="shared" si="38"/>
        <v>1.2453300124533002E-2</v>
      </c>
      <c r="H178" s="62">
        <f t="shared" si="38"/>
        <v>4.9562682215743441E-2</v>
      </c>
      <c r="I178" s="62">
        <f t="shared" si="38"/>
        <v>2.046035805626591E-2</v>
      </c>
      <c r="J178" s="62">
        <f t="shared" si="38"/>
        <v>-4.8484848484848457E-2</v>
      </c>
      <c r="K178" s="62">
        <f t="shared" si="38"/>
        <v>1.2254901960785359E-3</v>
      </c>
      <c r="L178" s="62">
        <f t="shared" si="38"/>
        <v>-2.4875621890547029E-3</v>
      </c>
      <c r="M178" s="62">
        <f t="shared" si="38"/>
        <v>1.4518002322880372E-2</v>
      </c>
      <c r="N178" s="62">
        <f t="shared" si="38"/>
        <v>2.552648372686699E-3</v>
      </c>
      <c r="O178" s="62">
        <f t="shared" si="38"/>
        <v>8.3333333333333332E-3</v>
      </c>
      <c r="P178" s="62">
        <f t="shared" si="38"/>
        <v>7.6380728554642273E-3</v>
      </c>
      <c r="Q178" s="62">
        <f t="shared" si="38"/>
        <v>5.0890585241730284E-3</v>
      </c>
      <c r="R178" s="62">
        <f t="shared" si="38"/>
        <v>8.4490042245021473E-3</v>
      </c>
      <c r="S178" s="62">
        <f t="shared" si="38"/>
        <v>1.4627659574468009E-2</v>
      </c>
      <c r="T178" s="62">
        <f t="shared" ref="T178:AC178" si="49">IFERROR((T87-T86)/T86,0)</f>
        <v>9.1799265605875154E-3</v>
      </c>
      <c r="U178" s="62">
        <f t="shared" si="49"/>
        <v>-1.2084592145014418E-3</v>
      </c>
      <c r="V178" s="62">
        <f t="shared" si="49"/>
        <v>9.202453987730062E-3</v>
      </c>
      <c r="W178" s="62">
        <f t="shared" si="49"/>
        <v>7.6238881829732439E-3</v>
      </c>
      <c r="X178" s="62">
        <f t="shared" si="49"/>
        <v>5.9808612440191387E-3</v>
      </c>
      <c r="Y178" s="62">
        <f t="shared" si="49"/>
        <v>7.1848465055518902E-3</v>
      </c>
      <c r="Z178" s="62">
        <f t="shared" si="49"/>
        <v>8.150470219435808E-3</v>
      </c>
      <c r="AA178" s="62">
        <f t="shared" si="49"/>
        <v>4.3209876543209179E-3</v>
      </c>
      <c r="AB178" s="62">
        <f t="shared" si="49"/>
        <v>1.5834348355663965E-2</v>
      </c>
      <c r="AC178" s="63">
        <f t="shared" si="49"/>
        <v>7.5282308657464783E-3</v>
      </c>
      <c r="AD178" s="39"/>
    </row>
    <row r="179" spans="1:30" x14ac:dyDescent="0.25">
      <c r="A179" s="52" t="s">
        <v>33</v>
      </c>
      <c r="B179" s="2">
        <v>2022</v>
      </c>
      <c r="C179" s="2" t="s">
        <v>37</v>
      </c>
      <c r="D179" s="62">
        <f t="shared" si="38"/>
        <v>1.1060507482108115E-2</v>
      </c>
      <c r="E179" s="62">
        <f t="shared" si="38"/>
        <v>0</v>
      </c>
      <c r="F179" s="62">
        <f t="shared" si="38"/>
        <v>-1.84853905784138E-2</v>
      </c>
      <c r="G179" s="62">
        <f t="shared" si="38"/>
        <v>9.8400984009839754E-3</v>
      </c>
      <c r="H179" s="62">
        <f t="shared" si="38"/>
        <v>3.3333333333333333E-2</v>
      </c>
      <c r="I179" s="62">
        <f t="shared" si="38"/>
        <v>0.10213032581453642</v>
      </c>
      <c r="J179" s="62">
        <f t="shared" si="38"/>
        <v>1.2208067940551926E-2</v>
      </c>
      <c r="K179" s="62">
        <f t="shared" si="38"/>
        <v>3.6719706242349711E-3</v>
      </c>
      <c r="L179" s="62">
        <f t="shared" si="38"/>
        <v>1.6625103906899655E-3</v>
      </c>
      <c r="M179" s="62">
        <f t="shared" si="38"/>
        <v>1.8889524899828345E-2</v>
      </c>
      <c r="N179" s="62">
        <f t="shared" si="38"/>
        <v>2.5461489497135945E-3</v>
      </c>
      <c r="O179" s="62">
        <f t="shared" si="38"/>
        <v>9.9173553719008895E-3</v>
      </c>
      <c r="P179" s="62">
        <f t="shared" si="38"/>
        <v>1.7492711370262391E-2</v>
      </c>
      <c r="Q179" s="62">
        <f t="shared" si="38"/>
        <v>-2.0253164556962313E-3</v>
      </c>
      <c r="R179" s="62">
        <f t="shared" si="38"/>
        <v>7.7797725912627852E-3</v>
      </c>
      <c r="S179" s="62">
        <f t="shared" si="38"/>
        <v>1.2450851900393222E-2</v>
      </c>
      <c r="T179" s="62">
        <f t="shared" ref="T179:AC179" si="50">IFERROR((T88-T87)/T87,0)</f>
        <v>8.4899939357186514E-3</v>
      </c>
      <c r="U179" s="62">
        <f t="shared" si="50"/>
        <v>1.0284331518451231E-2</v>
      </c>
      <c r="V179" s="62">
        <f t="shared" si="50"/>
        <v>3.64741641337386E-2</v>
      </c>
      <c r="W179" s="62">
        <f t="shared" si="50"/>
        <v>7.5662042875158705E-3</v>
      </c>
      <c r="X179" s="62">
        <f t="shared" si="50"/>
        <v>4.756242568371055E-3</v>
      </c>
      <c r="Y179" s="62">
        <f t="shared" si="50"/>
        <v>3.3073929961089647E-2</v>
      </c>
      <c r="Z179" s="62">
        <f t="shared" si="50"/>
        <v>8.7064676616914003E-3</v>
      </c>
      <c r="AA179" s="62">
        <f t="shared" si="50"/>
        <v>7.9901659496005618E-3</v>
      </c>
      <c r="AB179" s="62">
        <f t="shared" si="50"/>
        <v>9.5923261390886937E-3</v>
      </c>
      <c r="AC179" s="63">
        <f t="shared" si="50"/>
        <v>1.5566625155666251E-2</v>
      </c>
      <c r="AD179" s="39"/>
    </row>
    <row r="180" spans="1:30" x14ac:dyDescent="0.25">
      <c r="A180" s="52" t="s">
        <v>33</v>
      </c>
      <c r="B180" s="2">
        <v>2022</v>
      </c>
      <c r="C180" s="2" t="s">
        <v>38</v>
      </c>
      <c r="D180" s="62">
        <f t="shared" si="38"/>
        <v>8.3655083655082563E-3</v>
      </c>
      <c r="E180" s="62">
        <f t="shared" si="38"/>
        <v>2.5023169601482747E-2</v>
      </c>
      <c r="F180" s="62">
        <f t="shared" si="38"/>
        <v>-3.0376670716889429E-3</v>
      </c>
      <c r="G180" s="62">
        <f t="shared" si="38"/>
        <v>7.3081607795372544E-3</v>
      </c>
      <c r="H180" s="62">
        <f t="shared" si="38"/>
        <v>1.8817204301075269E-2</v>
      </c>
      <c r="I180" s="62">
        <f t="shared" si="38"/>
        <v>-7.9590676520750747E-3</v>
      </c>
      <c r="J180" s="62">
        <f t="shared" si="38"/>
        <v>6.5547981122181437E-2</v>
      </c>
      <c r="K180" s="62">
        <f t="shared" si="38"/>
        <v>6.0975609756094091E-4</v>
      </c>
      <c r="L180" s="62">
        <f t="shared" si="38"/>
        <v>5.8091286307054178E-3</v>
      </c>
      <c r="M180" s="62">
        <f t="shared" si="38"/>
        <v>1.9101123595505649E-2</v>
      </c>
      <c r="N180" s="62">
        <f t="shared" si="38"/>
        <v>6.3492063492063492E-3</v>
      </c>
      <c r="O180" s="62">
        <f t="shared" si="38"/>
        <v>8.728859792689548E-3</v>
      </c>
      <c r="P180" s="62">
        <f t="shared" si="38"/>
        <v>1.7191977077363897E-2</v>
      </c>
      <c r="Q180" s="62">
        <f t="shared" si="38"/>
        <v>2.0294266869609625E-3</v>
      </c>
      <c r="R180" s="62">
        <f t="shared" si="38"/>
        <v>9.5011876484560227E-3</v>
      </c>
      <c r="S180" s="62">
        <f t="shared" si="38"/>
        <v>9.0614886731391949E-3</v>
      </c>
      <c r="T180" s="62">
        <f t="shared" ref="T180:AC180" si="51">IFERROR((T89-T88)/T88,0)</f>
        <v>9.019843656043294E-3</v>
      </c>
      <c r="U180" s="62">
        <f t="shared" si="51"/>
        <v>2.9940119760479044E-3</v>
      </c>
      <c r="V180" s="62">
        <f t="shared" si="51"/>
        <v>1.7595307917888565E-2</v>
      </c>
      <c r="W180" s="62">
        <f t="shared" si="51"/>
        <v>8.1351689612013944E-3</v>
      </c>
      <c r="X180" s="62">
        <f t="shared" si="51"/>
        <v>6.5088757396449363E-3</v>
      </c>
      <c r="Y180" s="62">
        <f t="shared" si="51"/>
        <v>6.2774639045821913E-4</v>
      </c>
      <c r="Z180" s="62">
        <f t="shared" si="51"/>
        <v>6.1652281134401974E-3</v>
      </c>
      <c r="AA180" s="62">
        <f t="shared" si="51"/>
        <v>7.3170731707316384E-3</v>
      </c>
      <c r="AB180" s="62">
        <f t="shared" si="51"/>
        <v>-1.1876484560571084E-3</v>
      </c>
      <c r="AC180" s="63">
        <f t="shared" si="51"/>
        <v>4.2918454935623367E-3</v>
      </c>
      <c r="AD180" s="39"/>
    </row>
    <row r="181" spans="1:30" x14ac:dyDescent="0.25">
      <c r="A181" s="52" t="s">
        <v>33</v>
      </c>
      <c r="B181" s="2">
        <v>2022</v>
      </c>
      <c r="C181" s="2" t="s">
        <v>39</v>
      </c>
      <c r="D181" s="62">
        <f t="shared" si="38"/>
        <v>5.105296745373398E-3</v>
      </c>
      <c r="E181" s="62">
        <f t="shared" si="38"/>
        <v>9.9457504520796443E-3</v>
      </c>
      <c r="F181" s="62">
        <f t="shared" si="38"/>
        <v>5.3016453382084203E-2</v>
      </c>
      <c r="G181" s="62">
        <f t="shared" si="38"/>
        <v>6.0459492140266021E-3</v>
      </c>
      <c r="H181" s="62">
        <f t="shared" si="38"/>
        <v>-4.74934036939317E-3</v>
      </c>
      <c r="I181" s="62">
        <f t="shared" si="38"/>
        <v>-2.2922636103152186E-3</v>
      </c>
      <c r="J181" s="62">
        <f t="shared" si="38"/>
        <v>4.0846456692913445E-2</v>
      </c>
      <c r="K181" s="62">
        <f t="shared" si="38"/>
        <v>-3.0469226081657527E-3</v>
      </c>
      <c r="L181" s="62">
        <f t="shared" si="38"/>
        <v>1.6501650165016736E-3</v>
      </c>
      <c r="M181" s="62">
        <f t="shared" si="38"/>
        <v>1.1576626240352779E-2</v>
      </c>
      <c r="N181" s="62">
        <f t="shared" si="38"/>
        <v>3.7854889589905003E-3</v>
      </c>
      <c r="O181" s="62">
        <f t="shared" si="38"/>
        <v>7.5716603569497328E-3</v>
      </c>
      <c r="P181" s="62">
        <f t="shared" si="38"/>
        <v>1.0140845070422599E-2</v>
      </c>
      <c r="Q181" s="62">
        <f t="shared" si="38"/>
        <v>4.0506329113924626E-3</v>
      </c>
      <c r="R181" s="62">
        <f t="shared" si="38"/>
        <v>9.4117647058823192E-3</v>
      </c>
      <c r="S181" s="62">
        <f t="shared" si="38"/>
        <v>9.6215522771007055E-3</v>
      </c>
      <c r="T181" s="62">
        <f t="shared" ref="T181:AC181" si="52">IFERROR((T90-T89)/T89,0)</f>
        <v>9.5351609058402509E-3</v>
      </c>
      <c r="U181" s="62">
        <f t="shared" si="52"/>
        <v>-4.1791044776118723E-3</v>
      </c>
      <c r="V181" s="62">
        <f t="shared" si="52"/>
        <v>8.0691642651297153E-3</v>
      </c>
      <c r="W181" s="62">
        <f t="shared" si="52"/>
        <v>6.2073246430788334E-3</v>
      </c>
      <c r="X181" s="62">
        <f t="shared" si="52"/>
        <v>4.7031158142269922E-3</v>
      </c>
      <c r="Y181" s="62">
        <f t="shared" si="52"/>
        <v>-1.3801756587202113E-2</v>
      </c>
      <c r="Z181" s="62">
        <f t="shared" si="52"/>
        <v>5.5147058823529762E-3</v>
      </c>
      <c r="AA181" s="62">
        <f t="shared" si="52"/>
        <v>7.8692493946731935E-3</v>
      </c>
      <c r="AB181" s="62">
        <f t="shared" si="52"/>
        <v>5.945303210463734E-3</v>
      </c>
      <c r="AC181" s="63">
        <f t="shared" si="52"/>
        <v>0</v>
      </c>
      <c r="AD181" s="39"/>
    </row>
    <row r="182" spans="1:30" x14ac:dyDescent="0.25">
      <c r="A182" s="52" t="s">
        <v>33</v>
      </c>
      <c r="B182" s="2">
        <v>2022</v>
      </c>
      <c r="C182" s="2" t="s">
        <v>40</v>
      </c>
      <c r="D182" s="62">
        <f t="shared" si="38"/>
        <v>1.1428571428571501E-2</v>
      </c>
      <c r="E182" s="62">
        <f t="shared" si="38"/>
        <v>-2.8200537153088682E-2</v>
      </c>
      <c r="F182" s="62">
        <f t="shared" si="38"/>
        <v>2.1990740740740641E-2</v>
      </c>
      <c r="G182" s="62">
        <f t="shared" si="38"/>
        <v>4.2067307692307005E-3</v>
      </c>
      <c r="H182" s="62">
        <f t="shared" si="38"/>
        <v>-2.014846235418867E-2</v>
      </c>
      <c r="I182" s="62">
        <f t="shared" si="38"/>
        <v>3.1016657093624389E-2</v>
      </c>
      <c r="J182" s="62">
        <f t="shared" si="38"/>
        <v>-1.4184397163120567E-2</v>
      </c>
      <c r="K182" s="62">
        <f t="shared" si="38"/>
        <v>2.4449877750611594E-3</v>
      </c>
      <c r="L182" s="62">
        <f t="shared" si="38"/>
        <v>8.2372322899501083E-4</v>
      </c>
      <c r="M182" s="62">
        <f t="shared" si="38"/>
        <v>1.5258855585831125E-2</v>
      </c>
      <c r="N182" s="62">
        <f t="shared" si="38"/>
        <v>4.3997485857952051E-3</v>
      </c>
      <c r="O182" s="62">
        <f t="shared" si="38"/>
        <v>7.514761137949421E-3</v>
      </c>
      <c r="P182" s="62">
        <f t="shared" si="38"/>
        <v>5.5772448410482047E-4</v>
      </c>
      <c r="Q182" s="62">
        <f t="shared" si="38"/>
        <v>1.5128593040846341E-3</v>
      </c>
      <c r="R182" s="62">
        <f t="shared" si="38"/>
        <v>6.4102564102563771E-3</v>
      </c>
      <c r="S182" s="62">
        <f t="shared" si="38"/>
        <v>8.2592121982209849E-3</v>
      </c>
      <c r="T182" s="62">
        <f t="shared" ref="T182:AC182" si="53">IFERROR((T91-T90)/T90,0)</f>
        <v>7.0838252656433799E-3</v>
      </c>
      <c r="U182" s="62">
        <f t="shared" si="53"/>
        <v>5.9952038369304557E-3</v>
      </c>
      <c r="V182" s="62">
        <f t="shared" si="53"/>
        <v>2.6300743281875323E-2</v>
      </c>
      <c r="W182" s="62">
        <f t="shared" si="53"/>
        <v>6.1690314620604569E-3</v>
      </c>
      <c r="X182" s="62">
        <f t="shared" si="53"/>
        <v>4.6811000585136511E-3</v>
      </c>
      <c r="Y182" s="62">
        <f t="shared" si="53"/>
        <v>1.2722646310433655E-3</v>
      </c>
      <c r="Z182" s="62">
        <f t="shared" si="53"/>
        <v>3.0469226081657527E-3</v>
      </c>
      <c r="AA182" s="62">
        <f t="shared" si="53"/>
        <v>1.5615615615615582E-2</v>
      </c>
      <c r="AB182" s="62">
        <f t="shared" si="53"/>
        <v>3.5460992907802766E-3</v>
      </c>
      <c r="AC182" s="63">
        <f t="shared" si="53"/>
        <v>5.4945054945053553E-3</v>
      </c>
      <c r="AD182" s="39"/>
    </row>
    <row r="183" spans="1:30" x14ac:dyDescent="0.25">
      <c r="A183" s="52" t="s">
        <v>33</v>
      </c>
      <c r="B183" s="2">
        <v>2022</v>
      </c>
      <c r="C183" s="2" t="s">
        <v>41</v>
      </c>
      <c r="D183" s="62">
        <f t="shared" si="38"/>
        <v>1.7576898932831028E-2</v>
      </c>
      <c r="E183" s="62">
        <f t="shared" si="38"/>
        <v>-2.8558268079226113E-2</v>
      </c>
      <c r="F183" s="62">
        <f t="shared" si="38"/>
        <v>-3.3975084937712348E-2</v>
      </c>
      <c r="G183" s="62">
        <f t="shared" si="38"/>
        <v>7.7797725912627852E-3</v>
      </c>
      <c r="H183" s="62">
        <f t="shared" si="38"/>
        <v>-1.2445887445887507E-2</v>
      </c>
      <c r="I183" s="62">
        <f t="shared" si="38"/>
        <v>-1.3370473537604488E-2</v>
      </c>
      <c r="J183" s="62">
        <f t="shared" si="38"/>
        <v>2.206235011990405E-2</v>
      </c>
      <c r="K183" s="62">
        <f t="shared" si="38"/>
        <v>2.0121951219512265E-2</v>
      </c>
      <c r="L183" s="62">
        <f t="shared" si="38"/>
        <v>5.7613168724280073E-3</v>
      </c>
      <c r="M183" s="62">
        <f t="shared" si="38"/>
        <v>1.8250134192163054E-2</v>
      </c>
      <c r="N183" s="62">
        <f t="shared" si="38"/>
        <v>4.3804755944930451E-3</v>
      </c>
      <c r="O183" s="62">
        <f t="shared" si="38"/>
        <v>6.3931806073522493E-3</v>
      </c>
      <c r="P183" s="62">
        <f t="shared" si="38"/>
        <v>5.5741360089186171E-3</v>
      </c>
      <c r="Q183" s="62">
        <f t="shared" si="38"/>
        <v>5.0352467270893412E-4</v>
      </c>
      <c r="R183" s="62">
        <f t="shared" si="38"/>
        <v>5.7903879559930522E-3</v>
      </c>
      <c r="S183" s="62">
        <f t="shared" si="38"/>
        <v>8.1915563957152583E-3</v>
      </c>
      <c r="T183" s="62">
        <f t="shared" ref="T183:AC183" si="54">IFERROR((T92-T91)/T91,0)</f>
        <v>5.8616647127784291E-3</v>
      </c>
      <c r="U183" s="62">
        <f t="shared" si="54"/>
        <v>7.1513706793801465E-3</v>
      </c>
      <c r="V183" s="62">
        <f t="shared" si="54"/>
        <v>-6.1281337047353448E-3</v>
      </c>
      <c r="W183" s="62">
        <f t="shared" si="54"/>
        <v>6.7443286327406151E-3</v>
      </c>
      <c r="X183" s="62">
        <f t="shared" si="54"/>
        <v>5.2417006406523343E-3</v>
      </c>
      <c r="Y183" s="62">
        <f t="shared" si="54"/>
        <v>1.9059720457432208E-3</v>
      </c>
      <c r="Z183" s="62">
        <f t="shared" si="54"/>
        <v>3.0376670716889429E-3</v>
      </c>
      <c r="AA183" s="62">
        <f t="shared" si="54"/>
        <v>4.730928444707341E-3</v>
      </c>
      <c r="AB183" s="62">
        <f t="shared" si="54"/>
        <v>9.4228504122496719E-3</v>
      </c>
      <c r="AC183" s="63">
        <f t="shared" si="54"/>
        <v>4.2501517911355015E-3</v>
      </c>
      <c r="AD183" s="39"/>
    </row>
    <row r="184" spans="1:30" x14ac:dyDescent="0.25">
      <c r="A184" s="52" t="s">
        <v>33</v>
      </c>
      <c r="B184" s="2">
        <v>2022</v>
      </c>
      <c r="C184" s="2" t="s">
        <v>42</v>
      </c>
      <c r="D184" s="62">
        <f t="shared" si="38"/>
        <v>1.7273288093769348E-2</v>
      </c>
      <c r="E184" s="62">
        <f t="shared" si="38"/>
        <v>1.3276434329065827E-2</v>
      </c>
      <c r="F184" s="62">
        <f t="shared" si="38"/>
        <v>1.7584994138335954E-3</v>
      </c>
      <c r="G184" s="62">
        <f t="shared" si="38"/>
        <v>1.0095011876484494E-2</v>
      </c>
      <c r="H184" s="62">
        <f t="shared" si="38"/>
        <v>-1.7534246575342402E-2</v>
      </c>
      <c r="I184" s="62">
        <f t="shared" si="38"/>
        <v>-5.4206662902315045E-2</v>
      </c>
      <c r="J184" s="62">
        <f t="shared" si="38"/>
        <v>3.6133270764899188E-2</v>
      </c>
      <c r="K184" s="62">
        <f t="shared" si="38"/>
        <v>1.1356843992827119E-2</v>
      </c>
      <c r="L184" s="62">
        <f t="shared" si="38"/>
        <v>7.3649754500817628E-3</v>
      </c>
      <c r="M184" s="62">
        <f t="shared" si="38"/>
        <v>2.0558777016341623E-2</v>
      </c>
      <c r="N184" s="62">
        <f t="shared" si="38"/>
        <v>3.7383177570093104E-3</v>
      </c>
      <c r="O184" s="62">
        <f t="shared" si="38"/>
        <v>7.9407093700370572E-3</v>
      </c>
      <c r="P184" s="62">
        <f t="shared" si="38"/>
        <v>7.7605321507760849E-3</v>
      </c>
      <c r="Q184" s="62">
        <f t="shared" si="38"/>
        <v>5.0327126321087065E-3</v>
      </c>
      <c r="R184" s="62">
        <f t="shared" si="38"/>
        <v>7.4841681059298303E-3</v>
      </c>
      <c r="S184" s="62">
        <f t="shared" si="38"/>
        <v>1.062499999999993E-2</v>
      </c>
      <c r="T184" s="62">
        <f t="shared" ref="T184:AC184" si="55">IFERROR((T93-T92)/T92,0)</f>
        <v>8.1585081585081928E-3</v>
      </c>
      <c r="U184" s="62">
        <f t="shared" si="55"/>
        <v>2.9585798816568047E-3</v>
      </c>
      <c r="V184" s="62">
        <f t="shared" si="55"/>
        <v>4.4843049327353305E-3</v>
      </c>
      <c r="W184" s="62">
        <f t="shared" si="55"/>
        <v>4.8721071863581699E-3</v>
      </c>
      <c r="X184" s="62">
        <f t="shared" si="55"/>
        <v>6.952491309385962E-3</v>
      </c>
      <c r="Y184" s="62">
        <f t="shared" si="55"/>
        <v>3.1705770450221942E-3</v>
      </c>
      <c r="Z184" s="62">
        <f t="shared" si="55"/>
        <v>4.2398546335555244E-3</v>
      </c>
      <c r="AA184" s="62">
        <f t="shared" si="55"/>
        <v>5.885815185403178E-3</v>
      </c>
      <c r="AB184" s="62">
        <f t="shared" si="55"/>
        <v>-1.7502917152859472E-3</v>
      </c>
      <c r="AC184" s="63">
        <f t="shared" si="55"/>
        <v>4.2321644498185523E-3</v>
      </c>
      <c r="AD184" s="39"/>
    </row>
    <row r="185" spans="1:30" x14ac:dyDescent="0.25">
      <c r="A185" s="52" t="s">
        <v>33</v>
      </c>
      <c r="B185" s="2">
        <v>2022</v>
      </c>
      <c r="C185" s="2" t="s">
        <v>43</v>
      </c>
      <c r="D185" s="62">
        <f t="shared" si="38"/>
        <v>9.0964220739842318E-3</v>
      </c>
      <c r="E185" s="62">
        <f t="shared" si="38"/>
        <v>5.6153486195602113E-3</v>
      </c>
      <c r="F185" s="62">
        <f t="shared" si="38"/>
        <v>5.8513750731421883E-3</v>
      </c>
      <c r="G185" s="62">
        <f t="shared" si="38"/>
        <v>5.2910052910053245E-3</v>
      </c>
      <c r="H185" s="62">
        <f t="shared" si="38"/>
        <v>-8.9235917456777607E-3</v>
      </c>
      <c r="I185" s="62">
        <f t="shared" si="38"/>
        <v>-1.0746268656716487E-2</v>
      </c>
      <c r="J185" s="62">
        <f t="shared" si="38"/>
        <v>3.532608695652166E-2</v>
      </c>
      <c r="K185" s="62">
        <f t="shared" si="38"/>
        <v>4.1371158392436002E-3</v>
      </c>
      <c r="L185" s="62">
        <f t="shared" si="38"/>
        <v>2.4370430544273874E-3</v>
      </c>
      <c r="M185" s="62">
        <f t="shared" si="38"/>
        <v>1.4462809917355431E-2</v>
      </c>
      <c r="N185" s="62">
        <f t="shared" si="38"/>
        <v>3.1036623215394167E-3</v>
      </c>
      <c r="O185" s="62">
        <f t="shared" si="38"/>
        <v>5.7773109243697178E-3</v>
      </c>
      <c r="P185" s="62">
        <f t="shared" si="38"/>
        <v>8.2508250825082501E-3</v>
      </c>
      <c r="Q185" s="62">
        <f t="shared" si="38"/>
        <v>2.0030045067601686E-3</v>
      </c>
      <c r="R185" s="62">
        <f t="shared" si="38"/>
        <v>2.8571428571428571E-3</v>
      </c>
      <c r="S185" s="62">
        <f t="shared" si="38"/>
        <v>5.565862708719887E-3</v>
      </c>
      <c r="T185" s="62">
        <f t="shared" ref="T185:AC185" si="56">IFERROR((T94-T93)/T93,0)</f>
        <v>3.4682080924855162E-3</v>
      </c>
      <c r="U185" s="62">
        <f t="shared" si="56"/>
        <v>1.0029498525073679E-2</v>
      </c>
      <c r="V185" s="62">
        <f t="shared" si="56"/>
        <v>4.4642857142857782E-3</v>
      </c>
      <c r="W185" s="62">
        <f t="shared" si="56"/>
        <v>6.0606060606060606E-3</v>
      </c>
      <c r="X185" s="62">
        <f t="shared" si="56"/>
        <v>5.1783659378594775E-3</v>
      </c>
      <c r="Y185" s="62">
        <f t="shared" si="56"/>
        <v>3.7926675094818126E-3</v>
      </c>
      <c r="Z185" s="62">
        <f t="shared" si="56"/>
        <v>3.0156815440289505E-3</v>
      </c>
      <c r="AA185" s="62">
        <f t="shared" si="56"/>
        <v>1.7554125219425567E-3</v>
      </c>
      <c r="AB185" s="62">
        <f t="shared" si="56"/>
        <v>7.0134424313268093E-3</v>
      </c>
      <c r="AC185" s="63">
        <f t="shared" si="56"/>
        <v>4.2143287176400791E-3</v>
      </c>
      <c r="AD185" s="39"/>
    </row>
    <row r="186" spans="1:30" x14ac:dyDescent="0.25">
      <c r="A186" s="52" t="s">
        <v>33</v>
      </c>
      <c r="B186" s="2">
        <v>2022</v>
      </c>
      <c r="C186" s="2" t="s">
        <v>45</v>
      </c>
      <c r="D186" s="62">
        <f t="shared" si="38"/>
        <v>1.2019230769230768E-2</v>
      </c>
      <c r="E186" s="62">
        <f t="shared" si="38"/>
        <v>-6.9799906933457421E-3</v>
      </c>
      <c r="F186" s="62">
        <f t="shared" si="38"/>
        <v>6.5735892961023751E-2</v>
      </c>
      <c r="G186" s="62">
        <f t="shared" si="38"/>
        <v>7.6023391812866164E-3</v>
      </c>
      <c r="H186" s="62">
        <f t="shared" si="38"/>
        <v>1.2943162633652288E-2</v>
      </c>
      <c r="I186" s="62">
        <f t="shared" si="38"/>
        <v>-1.8708509354254645E-2</v>
      </c>
      <c r="J186" s="62">
        <f t="shared" si="38"/>
        <v>-0.10104986876640418</v>
      </c>
      <c r="K186" s="62">
        <f t="shared" si="38"/>
        <v>6.4743967039434629E-3</v>
      </c>
      <c r="L186" s="62">
        <f t="shared" si="38"/>
        <v>0</v>
      </c>
      <c r="M186" s="62">
        <f t="shared" si="38"/>
        <v>1.2219959266802473E-2</v>
      </c>
      <c r="N186" s="62">
        <f t="shared" si="38"/>
        <v>3.0940594059405942E-3</v>
      </c>
      <c r="O186" s="62">
        <f t="shared" si="38"/>
        <v>4.6997389033942858E-3</v>
      </c>
      <c r="P186" s="62">
        <f t="shared" si="38"/>
        <v>-1.0911074740861974E-2</v>
      </c>
      <c r="Q186" s="62">
        <f t="shared" si="38"/>
        <v>2.4987506246876563E-3</v>
      </c>
      <c r="R186" s="62">
        <f t="shared" si="38"/>
        <v>6.8376068376067725E-3</v>
      </c>
      <c r="S186" s="62">
        <f t="shared" si="38"/>
        <v>5.5350553505535407E-3</v>
      </c>
      <c r="T186" s="62">
        <f t="shared" ref="T186:AC186" si="57">IFERROR((T95-T94)/T94,0)</f>
        <v>6.3364055299538844E-3</v>
      </c>
      <c r="U186" s="62">
        <f t="shared" si="57"/>
        <v>3.5046728971963948E-3</v>
      </c>
      <c r="V186" s="62">
        <f t="shared" si="57"/>
        <v>1.6666666666667299E-3</v>
      </c>
      <c r="W186" s="62">
        <f t="shared" si="57"/>
        <v>5.4216867469879864E-3</v>
      </c>
      <c r="X186" s="62">
        <f t="shared" si="57"/>
        <v>6.2965082999428892E-3</v>
      </c>
      <c r="Y186" s="62">
        <f t="shared" si="57"/>
        <v>6.2972292191432189E-4</v>
      </c>
      <c r="Z186" s="62">
        <f t="shared" si="57"/>
        <v>2.4052916416114085E-3</v>
      </c>
      <c r="AA186" s="62">
        <f t="shared" si="57"/>
        <v>1.7523364485981974E-3</v>
      </c>
      <c r="AB186" s="62">
        <f t="shared" si="57"/>
        <v>8.7057457922228663E-3</v>
      </c>
      <c r="AC186" s="63">
        <f t="shared" si="57"/>
        <v>3.5971223021582389E-3</v>
      </c>
      <c r="AD186" s="39"/>
    </row>
    <row r="187" spans="1:30" x14ac:dyDescent="0.25">
      <c r="A187" s="52" t="s">
        <v>33</v>
      </c>
      <c r="B187" s="2">
        <v>2022</v>
      </c>
      <c r="C187" s="2" t="s">
        <v>46</v>
      </c>
      <c r="D187" s="62">
        <f t="shared" si="38"/>
        <v>1.0688836104512963E-2</v>
      </c>
      <c r="E187" s="62">
        <f t="shared" si="38"/>
        <v>-2.3430178069353325E-3</v>
      </c>
      <c r="F187" s="62">
        <f t="shared" si="38"/>
        <v>4.7489082969432411E-2</v>
      </c>
      <c r="G187" s="62">
        <f t="shared" si="38"/>
        <v>9.286128845037692E-3</v>
      </c>
      <c r="H187" s="62">
        <f t="shared" si="38"/>
        <v>-5.0000000000000313E-3</v>
      </c>
      <c r="I187" s="62">
        <f t="shared" si="38"/>
        <v>-1.9065190651906486E-2</v>
      </c>
      <c r="J187" s="62">
        <f t="shared" si="38"/>
        <v>-0.1304136253041363</v>
      </c>
      <c r="K187" s="62">
        <f t="shared" si="38"/>
        <v>1.7543859649123471E-3</v>
      </c>
      <c r="L187" s="62">
        <f t="shared" si="38"/>
        <v>-2.4311183144247275E-3</v>
      </c>
      <c r="M187" s="62">
        <f t="shared" si="38"/>
        <v>8.5513078470824365E-3</v>
      </c>
      <c r="N187" s="62">
        <f t="shared" si="38"/>
        <v>4.3183220234424245E-3</v>
      </c>
      <c r="O187" s="62">
        <f t="shared" si="38"/>
        <v>4.6777546777547075E-3</v>
      </c>
      <c r="P187" s="62">
        <f t="shared" si="38"/>
        <v>-1.4892443463872128E-2</v>
      </c>
      <c r="Q187" s="62">
        <f t="shared" si="38"/>
        <v>2.4925224327018943E-3</v>
      </c>
      <c r="R187" s="62">
        <f t="shared" si="38"/>
        <v>5.6593095642331641E-3</v>
      </c>
      <c r="S187" s="62">
        <f t="shared" si="38"/>
        <v>6.1162079510703364E-3</v>
      </c>
      <c r="T187" s="62">
        <f t="shared" ref="T187:AC187" si="58">IFERROR((T96-T95)/T95,0)</f>
        <v>5.7240984544934172E-3</v>
      </c>
      <c r="U187" s="62">
        <f t="shared" si="58"/>
        <v>-6.4027939464494921E-3</v>
      </c>
      <c r="V187" s="62">
        <f t="shared" si="58"/>
        <v>1.6638935108152131E-3</v>
      </c>
      <c r="W187" s="62">
        <f t="shared" si="58"/>
        <v>2.3966446974236408E-3</v>
      </c>
      <c r="X187" s="62">
        <f t="shared" si="58"/>
        <v>7.9635949943115888E-3</v>
      </c>
      <c r="Y187" s="62">
        <f t="shared" si="58"/>
        <v>3.1466331025802388E-3</v>
      </c>
      <c r="Z187" s="62">
        <f t="shared" si="58"/>
        <v>2.3995200959808379E-3</v>
      </c>
      <c r="AA187" s="62">
        <f t="shared" si="58"/>
        <v>1.7492711370263054E-3</v>
      </c>
      <c r="AB187" s="62">
        <f t="shared" si="58"/>
        <v>1.26582278481012E-2</v>
      </c>
      <c r="AC187" s="63">
        <f t="shared" si="58"/>
        <v>4.778972520907903E-3</v>
      </c>
      <c r="AD187" s="39"/>
    </row>
    <row r="188" spans="1:30" x14ac:dyDescent="0.25">
      <c r="A188" s="52" t="s">
        <v>33</v>
      </c>
      <c r="B188" s="2">
        <v>2023</v>
      </c>
      <c r="C188" s="2" t="s">
        <v>31</v>
      </c>
      <c r="D188" s="62">
        <f t="shared" si="38"/>
        <v>1.821386603995313E-2</v>
      </c>
      <c r="E188" s="62">
        <f t="shared" si="38"/>
        <v>1.0803193987787613E-2</v>
      </c>
      <c r="F188" s="62">
        <f t="shared" si="38"/>
        <v>2.6576341844710756E-2</v>
      </c>
      <c r="G188" s="62">
        <f t="shared" si="38"/>
        <v>7.4755606670499301E-3</v>
      </c>
      <c r="H188" s="62">
        <f t="shared" si="38"/>
        <v>-6.1418202121719398E-3</v>
      </c>
      <c r="I188" s="62">
        <f t="shared" si="38"/>
        <v>6.269592476489028E-3</v>
      </c>
      <c r="J188" s="62">
        <f t="shared" si="38"/>
        <v>-1.9026301063234344E-2</v>
      </c>
      <c r="K188" s="62">
        <f t="shared" si="38"/>
        <v>-5.837711617047445E-4</v>
      </c>
      <c r="L188" s="62">
        <f t="shared" si="38"/>
        <v>-3.2493907392363241E-3</v>
      </c>
      <c r="M188" s="62">
        <f t="shared" si="38"/>
        <v>1.8952618453865394E-2</v>
      </c>
      <c r="N188" s="62">
        <f t="shared" si="38"/>
        <v>5.5282555282553884E-3</v>
      </c>
      <c r="O188" s="62">
        <f t="shared" si="38"/>
        <v>5.1733057423693739E-3</v>
      </c>
      <c r="P188" s="62">
        <f t="shared" si="38"/>
        <v>5.0391937290033915E-3</v>
      </c>
      <c r="Q188" s="62">
        <f t="shared" si="38"/>
        <v>2.4863252113376429E-3</v>
      </c>
      <c r="R188" s="62">
        <f t="shared" si="38"/>
        <v>5.6274620146314017E-3</v>
      </c>
      <c r="S188" s="62">
        <f t="shared" si="38"/>
        <v>4.8632218844985491E-3</v>
      </c>
      <c r="T188" s="62">
        <f t="shared" ref="T188:AC188" si="59">IFERROR((T97-T96)/T96,0)</f>
        <v>5.1223676721685015E-3</v>
      </c>
      <c r="U188" s="62">
        <f t="shared" si="59"/>
        <v>8.201523140011751E-3</v>
      </c>
      <c r="V188" s="62">
        <f t="shared" si="59"/>
        <v>-2.7685492801771874E-3</v>
      </c>
      <c r="W188" s="62">
        <f t="shared" si="59"/>
        <v>4.1841004184099738E-3</v>
      </c>
      <c r="X188" s="62">
        <f t="shared" si="59"/>
        <v>7.3363431151242178E-3</v>
      </c>
      <c r="Y188" s="62">
        <f t="shared" si="59"/>
        <v>6.2735257214551008E-4</v>
      </c>
      <c r="Z188" s="62">
        <f t="shared" si="59"/>
        <v>4.1891083183723341E-3</v>
      </c>
      <c r="AA188" s="62">
        <f t="shared" si="59"/>
        <v>0</v>
      </c>
      <c r="AB188" s="62">
        <f t="shared" si="59"/>
        <v>1.5909090909090973E-2</v>
      </c>
      <c r="AC188" s="63">
        <f t="shared" si="59"/>
        <v>4.1617122473247151E-3</v>
      </c>
      <c r="AD188" s="39"/>
    </row>
    <row r="189" spans="1:30" x14ac:dyDescent="0.25">
      <c r="A189" s="52" t="s">
        <v>33</v>
      </c>
      <c r="B189" s="2">
        <v>2023</v>
      </c>
      <c r="C189" s="2" t="s">
        <v>35</v>
      </c>
      <c r="D189" s="62">
        <f t="shared" si="38"/>
        <v>8.078476630121045E-3</v>
      </c>
      <c r="E189" s="62">
        <f t="shared" si="38"/>
        <v>-1.3940520446096656E-2</v>
      </c>
      <c r="F189" s="62">
        <f t="shared" si="38"/>
        <v>-0.10050761421319802</v>
      </c>
      <c r="G189" s="62">
        <f t="shared" si="38"/>
        <v>1.5410958904109687E-2</v>
      </c>
      <c r="H189" s="62">
        <f t="shared" si="38"/>
        <v>-3.2584269662921411E-2</v>
      </c>
      <c r="I189" s="62">
        <f t="shared" si="38"/>
        <v>7.2274143302180655E-2</v>
      </c>
      <c r="J189" s="62">
        <f t="shared" si="38"/>
        <v>2.8522532800912721E-3</v>
      </c>
      <c r="K189" s="62">
        <f t="shared" si="38"/>
        <v>5.8411214953271035E-3</v>
      </c>
      <c r="L189" s="62">
        <f t="shared" si="38"/>
        <v>-6.5199674001629754E-3</v>
      </c>
      <c r="M189" s="62">
        <f t="shared" si="38"/>
        <v>2.4473813020068525E-3</v>
      </c>
      <c r="N189" s="62">
        <f t="shared" si="38"/>
        <v>7.3304825901039528E-3</v>
      </c>
      <c r="O189" s="62">
        <f t="shared" si="38"/>
        <v>1.1837364899639644E-2</v>
      </c>
      <c r="P189" s="62">
        <f t="shared" si="38"/>
        <v>6.6852367688021649E-3</v>
      </c>
      <c r="Q189" s="62">
        <f t="shared" si="38"/>
        <v>5.4563492063491783E-3</v>
      </c>
      <c r="R189" s="62">
        <f t="shared" si="38"/>
        <v>8.9535534415222315E-3</v>
      </c>
      <c r="S189" s="62">
        <f t="shared" si="38"/>
        <v>1.0284331518451231E-2</v>
      </c>
      <c r="T189" s="62">
        <f t="shared" ref="T189:AC189" si="60">IFERROR((T98-T97)/T97,0)</f>
        <v>9.0600226500565928E-3</v>
      </c>
      <c r="U189" s="62">
        <f t="shared" si="60"/>
        <v>8.1348053457292614E-3</v>
      </c>
      <c r="V189" s="62">
        <f t="shared" si="60"/>
        <v>1.4991671293725804E-2</v>
      </c>
      <c r="W189" s="62">
        <f t="shared" si="60"/>
        <v>7.142857142857075E-3</v>
      </c>
      <c r="X189" s="62">
        <f t="shared" si="60"/>
        <v>1.2885154061624713E-2</v>
      </c>
      <c r="Y189" s="62">
        <f t="shared" si="60"/>
        <v>1.8808777429467798E-3</v>
      </c>
      <c r="Z189" s="62">
        <f t="shared" si="60"/>
        <v>3.5756853396900733E-3</v>
      </c>
      <c r="AA189" s="62">
        <f t="shared" si="60"/>
        <v>4.0745052386495263E-3</v>
      </c>
      <c r="AB189" s="62">
        <f t="shared" si="60"/>
        <v>1.4541387024608469E-2</v>
      </c>
      <c r="AC189" s="63">
        <f t="shared" si="60"/>
        <v>6.5127294256956438E-3</v>
      </c>
      <c r="AD189" s="39"/>
    </row>
    <row r="190" spans="1:30" x14ac:dyDescent="0.25">
      <c r="A190" s="52" t="s">
        <v>33</v>
      </c>
      <c r="B190" s="2">
        <v>2023</v>
      </c>
      <c r="C190" s="2" t="s">
        <v>36</v>
      </c>
      <c r="D190" s="62">
        <f t="shared" si="38"/>
        <v>0</v>
      </c>
      <c r="E190" s="62">
        <f t="shared" si="38"/>
        <v>0</v>
      </c>
      <c r="F190" s="62">
        <f t="shared" si="38"/>
        <v>0</v>
      </c>
      <c r="G190" s="62">
        <f t="shared" si="38"/>
        <v>0</v>
      </c>
      <c r="H190" s="62">
        <f t="shared" si="38"/>
        <v>0</v>
      </c>
      <c r="I190" s="62">
        <f t="shared" si="38"/>
        <v>0</v>
      </c>
      <c r="J190" s="62">
        <f t="shared" si="38"/>
        <v>5.6882821387937608E-4</v>
      </c>
      <c r="K190" s="62">
        <f t="shared" si="38"/>
        <v>0</v>
      </c>
      <c r="L190" s="62">
        <f t="shared" si="38"/>
        <v>0</v>
      </c>
      <c r="M190" s="62">
        <f t="shared" si="38"/>
        <v>0</v>
      </c>
      <c r="N190" s="62">
        <f t="shared" si="38"/>
        <v>0</v>
      </c>
      <c r="O190" s="62">
        <f t="shared" si="38"/>
        <v>0</v>
      </c>
      <c r="P190" s="62">
        <f t="shared" si="38"/>
        <v>5.5340343110139867E-4</v>
      </c>
      <c r="Q190" s="62">
        <f t="shared" si="38"/>
        <v>0</v>
      </c>
      <c r="R190" s="62">
        <f t="shared" si="38"/>
        <v>-5.5463117027189531E-4</v>
      </c>
      <c r="S190" s="62">
        <f t="shared" si="38"/>
        <v>0</v>
      </c>
      <c r="T190" s="62">
        <f t="shared" ref="T190:AC190" si="61">IFERROR((T99-T98)/T98,0)</f>
        <v>0</v>
      </c>
      <c r="U190" s="62">
        <f t="shared" si="61"/>
        <v>0</v>
      </c>
      <c r="V190" s="62">
        <f t="shared" si="61"/>
        <v>-1.0940919037200057E-3</v>
      </c>
      <c r="W190" s="62">
        <f t="shared" si="61"/>
        <v>0</v>
      </c>
      <c r="X190" s="62">
        <f t="shared" si="61"/>
        <v>0</v>
      </c>
      <c r="Y190" s="62">
        <f t="shared" si="61"/>
        <v>0</v>
      </c>
      <c r="Z190" s="62">
        <f t="shared" si="61"/>
        <v>0</v>
      </c>
      <c r="AA190" s="62">
        <f t="shared" si="61"/>
        <v>0</v>
      </c>
      <c r="AB190" s="62">
        <f t="shared" si="61"/>
        <v>5.5126791620724541E-4</v>
      </c>
      <c r="AC190" s="63">
        <f t="shared" si="61"/>
        <v>0</v>
      </c>
      <c r="AD190" s="39"/>
    </row>
    <row r="191" spans="1:30" x14ac:dyDescent="0.25">
      <c r="A191" s="52" t="s">
        <v>33</v>
      </c>
      <c r="B191" s="2">
        <v>2023</v>
      </c>
      <c r="C191" s="2" t="s">
        <v>37</v>
      </c>
      <c r="D191" s="62">
        <f t="shared" si="38"/>
        <v>5.7240984544947189E-4</v>
      </c>
      <c r="E191" s="62">
        <f t="shared" si="38"/>
        <v>7.068803016022621E-3</v>
      </c>
      <c r="F191" s="62">
        <f t="shared" si="38"/>
        <v>-2.7088036117381396E-2</v>
      </c>
      <c r="G191" s="62">
        <f t="shared" si="38"/>
        <v>5.0590219224283623E-3</v>
      </c>
      <c r="H191" s="62">
        <f t="shared" si="38"/>
        <v>-2.0325203252032523E-2</v>
      </c>
      <c r="I191" s="62">
        <f t="shared" si="38"/>
        <v>4.1255084253341047E-2</v>
      </c>
      <c r="J191" s="62">
        <f t="shared" si="38"/>
        <v>2.2740193291642979E-2</v>
      </c>
      <c r="K191" s="62">
        <f t="shared" si="38"/>
        <v>1.4518002322880372E-2</v>
      </c>
      <c r="L191" s="62">
        <f t="shared" si="38"/>
        <v>9.8441345365052387E-3</v>
      </c>
      <c r="M191" s="62">
        <f t="shared" si="38"/>
        <v>1.46484375E-2</v>
      </c>
      <c r="N191" s="62">
        <f t="shared" si="38"/>
        <v>3.6385688295936585E-3</v>
      </c>
      <c r="O191" s="62">
        <f t="shared" si="38"/>
        <v>2.034587995930853E-3</v>
      </c>
      <c r="P191" s="62">
        <f t="shared" si="38"/>
        <v>7.1902654867255691E-3</v>
      </c>
      <c r="Q191" s="62">
        <f t="shared" si="38"/>
        <v>3.9467192895905846E-3</v>
      </c>
      <c r="R191" s="62">
        <f t="shared" si="38"/>
        <v>4.4395116537181544E-3</v>
      </c>
      <c r="S191" s="62">
        <f t="shared" si="38"/>
        <v>4.1916167664669979E-3</v>
      </c>
      <c r="T191" s="62">
        <f t="shared" ref="T191:AC191" si="62">IFERROR((T100-T99)/T99,0)</f>
        <v>3.9281705948373572E-3</v>
      </c>
      <c r="U191" s="62">
        <f t="shared" si="62"/>
        <v>9.7982708933716921E-3</v>
      </c>
      <c r="V191" s="62">
        <f t="shared" si="62"/>
        <v>-2.7382256297918948E-3</v>
      </c>
      <c r="W191" s="62">
        <f t="shared" si="62"/>
        <v>2.3640661938534617E-3</v>
      </c>
      <c r="X191" s="62">
        <f t="shared" si="62"/>
        <v>3.8716814159291406E-3</v>
      </c>
      <c r="Y191" s="62">
        <f t="shared" si="62"/>
        <v>1.877346683354086E-3</v>
      </c>
      <c r="Z191" s="62">
        <f t="shared" si="62"/>
        <v>2.3752969121140478E-3</v>
      </c>
      <c r="AA191" s="62">
        <f t="shared" si="62"/>
        <v>9.8550724637680494E-3</v>
      </c>
      <c r="AB191" s="62">
        <f t="shared" si="62"/>
        <v>1.5977961432506918E-2</v>
      </c>
      <c r="AC191" s="63">
        <f t="shared" si="62"/>
        <v>5.2941176470588571E-3</v>
      </c>
      <c r="AD191" s="39"/>
    </row>
    <row r="192" spans="1:30" x14ac:dyDescent="0.25">
      <c r="A192" s="53" t="s">
        <v>33</v>
      </c>
      <c r="B192" s="54">
        <v>2023</v>
      </c>
      <c r="C192" s="54" t="s">
        <v>38</v>
      </c>
      <c r="D192" s="64">
        <f t="shared" si="38"/>
        <v>-5.7208237986283023E-4</v>
      </c>
      <c r="E192" s="64">
        <f t="shared" si="38"/>
        <v>2.6672905942910705E-2</v>
      </c>
      <c r="F192" s="64">
        <f t="shared" si="38"/>
        <v>2.4941995359628672E-2</v>
      </c>
      <c r="G192" s="64">
        <f t="shared" si="38"/>
        <v>3.355704697986545E-3</v>
      </c>
      <c r="H192" s="64">
        <f t="shared" si="38"/>
        <v>-2.5489033787788874E-2</v>
      </c>
      <c r="I192" s="64">
        <f t="shared" si="38"/>
        <v>-1.8973214285714159E-2</v>
      </c>
      <c r="J192" s="64">
        <f t="shared" si="38"/>
        <v>2.8349082823790964E-2</v>
      </c>
      <c r="K192" s="64">
        <f t="shared" si="38"/>
        <v>1.2593016599885617E-2</v>
      </c>
      <c r="L192" s="64">
        <f t="shared" si="38"/>
        <v>8.9358245329001513E-3</v>
      </c>
      <c r="M192" s="64">
        <f t="shared" si="38"/>
        <v>1.9730510105871003E-2</v>
      </c>
      <c r="N192" s="64">
        <f t="shared" si="38"/>
        <v>2.4169184290030554E-3</v>
      </c>
      <c r="O192" s="64">
        <f t="shared" si="38"/>
        <v>3.5532994923857292E-3</v>
      </c>
      <c r="P192" s="64">
        <f t="shared" si="38"/>
        <v>5.4914881933003845E-3</v>
      </c>
      <c r="Q192" s="64">
        <f t="shared" si="38"/>
        <v>3.4398034398033838E-3</v>
      </c>
      <c r="R192" s="64">
        <f t="shared" si="38"/>
        <v>1.6574585635359745E-3</v>
      </c>
      <c r="S192" s="64">
        <f t="shared" si="38"/>
        <v>2.3852116875373031E-3</v>
      </c>
      <c r="T192" s="64">
        <f t="shared" ref="T192:AC192" si="63">IFERROR((T101-T100)/T100,0)</f>
        <v>2.2358859698155711E-3</v>
      </c>
      <c r="U192" s="64">
        <f t="shared" si="63"/>
        <v>2.2831050228310826E-3</v>
      </c>
      <c r="V192" s="64">
        <f t="shared" si="63"/>
        <v>7.1389346512905627E-3</v>
      </c>
      <c r="W192" s="64">
        <f t="shared" si="63"/>
        <v>2.94811320754717E-3</v>
      </c>
      <c r="X192" s="64">
        <f t="shared" si="63"/>
        <v>3.8567493112947032E-3</v>
      </c>
      <c r="Y192" s="64">
        <f t="shared" si="63"/>
        <v>1.8738288569644683E-3</v>
      </c>
      <c r="Z192" s="64">
        <f t="shared" si="63"/>
        <v>2.3696682464453629E-3</v>
      </c>
      <c r="AA192" s="64">
        <f t="shared" si="63"/>
        <v>3.4443168771528289E-3</v>
      </c>
      <c r="AB192" s="64">
        <f t="shared" si="63"/>
        <v>6.5075921908893091E-3</v>
      </c>
      <c r="AC192" s="65">
        <f t="shared" si="63"/>
        <v>4.0959625511994653E-3</v>
      </c>
      <c r="AD192" s="39"/>
    </row>
    <row r="195" spans="2:4" x14ac:dyDescent="0.25">
      <c r="B195" s="140" t="s">
        <v>106</v>
      </c>
      <c r="C195" s="141"/>
      <c r="D195" s="142"/>
    </row>
    <row r="196" spans="2:4" x14ac:dyDescent="0.25">
      <c r="B196" s="143"/>
      <c r="C196" s="144"/>
      <c r="D196" s="145"/>
    </row>
    <row r="197" spans="2:4" x14ac:dyDescent="0.25">
      <c r="B197" s="55" t="s">
        <v>103</v>
      </c>
      <c r="C197" s="50" t="s">
        <v>104</v>
      </c>
      <c r="D197" s="53" t="s">
        <v>108</v>
      </c>
    </row>
    <row r="198" spans="2:4" x14ac:dyDescent="0.25">
      <c r="B198" s="56">
        <v>44197</v>
      </c>
      <c r="C198" s="57">
        <v>3918.56</v>
      </c>
      <c r="D198" s="58">
        <v>9.1700000000000004E-2</v>
      </c>
    </row>
    <row r="199" spans="2:4" x14ac:dyDescent="0.25">
      <c r="B199" s="56">
        <v>44228</v>
      </c>
      <c r="C199" s="57">
        <v>4399.41</v>
      </c>
      <c r="D199" s="58">
        <v>0.1227</v>
      </c>
    </row>
    <row r="200" spans="2:4" x14ac:dyDescent="0.25">
      <c r="B200" s="56">
        <v>44256</v>
      </c>
      <c r="C200" s="57">
        <v>4646.3599999999997</v>
      </c>
      <c r="D200" s="58">
        <v>5.6099999999999997E-2</v>
      </c>
    </row>
    <row r="201" spans="2:4" x14ac:dyDescent="0.25">
      <c r="B201" s="56">
        <v>44287</v>
      </c>
      <c r="C201" s="57">
        <v>4684.6400000000003</v>
      </c>
      <c r="D201" s="58">
        <v>8.2000000000000007E-3</v>
      </c>
    </row>
    <row r="202" spans="2:4" x14ac:dyDescent="0.25">
      <c r="B202" s="56">
        <v>44317</v>
      </c>
      <c r="C202" s="57">
        <v>4870.9799999999996</v>
      </c>
      <c r="D202" s="58">
        <v>3.9800000000000002E-2</v>
      </c>
    </row>
    <row r="203" spans="2:4" x14ac:dyDescent="0.25">
      <c r="B203" s="56">
        <v>44348</v>
      </c>
      <c r="C203" s="57">
        <v>5281.48</v>
      </c>
      <c r="D203" s="58">
        <v>8.43E-2</v>
      </c>
    </row>
    <row r="204" spans="2:4" x14ac:dyDescent="0.25">
      <c r="B204" s="56">
        <v>44378</v>
      </c>
      <c r="C204" s="57">
        <v>5460.9</v>
      </c>
      <c r="D204" s="58">
        <v>3.4000000000000002E-2</v>
      </c>
    </row>
    <row r="205" spans="2:4" x14ac:dyDescent="0.25">
      <c r="B205" s="56">
        <v>44409</v>
      </c>
      <c r="C205" s="57">
        <v>5108.7299999999996</v>
      </c>
      <c r="D205" s="58">
        <v>-6.4500000000000002E-2</v>
      </c>
    </row>
    <row r="206" spans="2:4" x14ac:dyDescent="0.25">
      <c r="B206" s="56">
        <v>44440</v>
      </c>
      <c r="C206" s="57">
        <v>5359.17</v>
      </c>
      <c r="D206" s="58">
        <v>4.9000000000000002E-2</v>
      </c>
    </row>
    <row r="207" spans="2:4" x14ac:dyDescent="0.25">
      <c r="B207" s="56">
        <v>44470</v>
      </c>
      <c r="C207" s="57">
        <v>6146.58</v>
      </c>
      <c r="D207" s="58">
        <v>0.1469</v>
      </c>
    </row>
    <row r="208" spans="2:4" x14ac:dyDescent="0.25">
      <c r="B208" s="56">
        <v>44501</v>
      </c>
      <c r="C208" s="57">
        <v>5952.69</v>
      </c>
      <c r="D208" s="58">
        <v>-3.15E-2</v>
      </c>
    </row>
    <row r="209" spans="2:4" x14ac:dyDescent="0.25">
      <c r="B209" s="56">
        <v>44531</v>
      </c>
      <c r="C209" s="57">
        <v>5504.55</v>
      </c>
      <c r="D209" s="58">
        <v>-7.5300000000000006E-2</v>
      </c>
    </row>
    <row r="210" spans="2:4" x14ac:dyDescent="0.25">
      <c r="B210" s="56">
        <v>44562</v>
      </c>
      <c r="C210" s="57">
        <v>6247.71</v>
      </c>
      <c r="D210" s="58">
        <v>0.13500000000000001</v>
      </c>
    </row>
    <row r="211" spans="2:4" x14ac:dyDescent="0.25">
      <c r="B211" s="56">
        <v>44593</v>
      </c>
      <c r="C211" s="57">
        <v>7018.51</v>
      </c>
      <c r="D211" s="58">
        <v>0.1234</v>
      </c>
    </row>
    <row r="212" spans="2:4" x14ac:dyDescent="0.25">
      <c r="B212" s="56">
        <v>44621</v>
      </c>
      <c r="C212" s="57">
        <v>8569.8799999999992</v>
      </c>
      <c r="D212" s="58">
        <v>0.221</v>
      </c>
    </row>
    <row r="213" spans="2:4" x14ac:dyDescent="0.25">
      <c r="B213" s="56">
        <v>44652</v>
      </c>
      <c r="C213" s="57">
        <v>7877.96</v>
      </c>
      <c r="D213" s="58">
        <v>-8.0699999999999994E-2</v>
      </c>
    </row>
    <row r="214" spans="2:4" x14ac:dyDescent="0.25">
      <c r="B214" s="56">
        <v>44682</v>
      </c>
      <c r="C214" s="57">
        <v>8511.74</v>
      </c>
      <c r="D214" s="58">
        <v>8.0500000000000002E-2</v>
      </c>
    </row>
    <row r="215" spans="2:4" x14ac:dyDescent="0.25">
      <c r="B215" s="56">
        <v>44713</v>
      </c>
      <c r="C215" s="57">
        <v>9119.5499999999993</v>
      </c>
      <c r="D215" s="58">
        <v>7.1400000000000005E-2</v>
      </c>
    </row>
    <row r="216" spans="2:4" x14ac:dyDescent="0.25">
      <c r="B216" s="56">
        <v>44743</v>
      </c>
      <c r="C216" s="57">
        <v>8366.39</v>
      </c>
      <c r="D216" s="58">
        <v>-8.2600000000000007E-2</v>
      </c>
    </row>
    <row r="217" spans="2:4" x14ac:dyDescent="0.25">
      <c r="B217" s="56">
        <v>44774</v>
      </c>
      <c r="C217" s="57">
        <v>7634.9</v>
      </c>
      <c r="D217" s="58">
        <v>-8.7400000000000005E-2</v>
      </c>
    </row>
    <row r="218" spans="2:4" x14ac:dyDescent="0.25">
      <c r="B218" s="56">
        <v>44805</v>
      </c>
      <c r="C218" s="57">
        <v>7079.45</v>
      </c>
      <c r="D218" s="58">
        <v>-7.2800000000000004E-2</v>
      </c>
    </row>
    <row r="219" spans="2:4" x14ac:dyDescent="0.25">
      <c r="B219" s="56">
        <v>44835</v>
      </c>
      <c r="C219" s="57">
        <v>7437.13</v>
      </c>
      <c r="D219" s="58">
        <v>5.0500000000000003E-2</v>
      </c>
    </row>
    <row r="220" spans="2:4" x14ac:dyDescent="0.25">
      <c r="B220" s="56">
        <v>44866</v>
      </c>
      <c r="C220" s="57">
        <v>7150.11</v>
      </c>
      <c r="D220" s="58">
        <v>-3.8600000000000002E-2</v>
      </c>
    </row>
    <row r="221" spans="2:4" x14ac:dyDescent="0.25">
      <c r="B221" s="56">
        <v>44896</v>
      </c>
      <c r="C221" s="57">
        <v>6429.95</v>
      </c>
      <c r="D221" s="58">
        <v>-0.1007</v>
      </c>
    </row>
    <row r="222" spans="2:4" x14ac:dyDescent="0.25">
      <c r="B222" s="56">
        <v>44927</v>
      </c>
      <c r="C222" s="57">
        <v>6584.69</v>
      </c>
      <c r="D222" s="58">
        <v>2.41E-2</v>
      </c>
    </row>
    <row r="223" spans="2:4" x14ac:dyDescent="0.25">
      <c r="B223" s="56">
        <v>44958</v>
      </c>
      <c r="C223" s="57">
        <v>6628.99</v>
      </c>
      <c r="D223" s="58">
        <v>6.7000000000000002E-3</v>
      </c>
    </row>
    <row r="224" spans="2:4" x14ac:dyDescent="0.25">
      <c r="B224" s="56">
        <v>44986</v>
      </c>
      <c r="C224" s="57">
        <v>6292.9</v>
      </c>
      <c r="D224" s="58">
        <v>-5.0700000000000002E-2</v>
      </c>
    </row>
    <row r="225" spans="1:27" x14ac:dyDescent="0.25">
      <c r="B225" s="56">
        <v>45017</v>
      </c>
      <c r="C225" s="57">
        <v>6763.43</v>
      </c>
      <c r="D225" s="58">
        <v>7.4800000000000005E-2</v>
      </c>
    </row>
    <row r="226" spans="1:27" x14ac:dyDescent="0.25">
      <c r="B226" s="59">
        <v>45047</v>
      </c>
      <c r="C226" s="60">
        <v>6102.52</v>
      </c>
      <c r="D226" s="61">
        <v>-9.7699999999999995E-2</v>
      </c>
    </row>
    <row r="229" spans="1:27" x14ac:dyDescent="0.25">
      <c r="B229" s="146" t="s">
        <v>110</v>
      </c>
      <c r="C229" s="146"/>
      <c r="D229" s="146"/>
      <c r="E229" s="146"/>
      <c r="F229" s="66"/>
      <c r="G229" s="66"/>
      <c r="H229" s="66"/>
    </row>
    <row r="230" spans="1:27" x14ac:dyDescent="0.25">
      <c r="B230" s="146"/>
      <c r="C230" s="146"/>
      <c r="D230" s="146"/>
      <c r="E230" s="146"/>
      <c r="F230" s="66"/>
      <c r="G230" s="66"/>
      <c r="H230" s="66"/>
    </row>
    <row r="233" spans="1:27" x14ac:dyDescent="0.25">
      <c r="A233" s="131" t="s">
        <v>111</v>
      </c>
      <c r="B233" s="131"/>
      <c r="C233" s="131"/>
    </row>
    <row r="234" spans="1:27" x14ac:dyDescent="0.25">
      <c r="A234" s="131"/>
      <c r="B234" s="131"/>
      <c r="C234" s="131"/>
    </row>
    <row r="235" spans="1:27" s="3" customFormat="1" ht="19.5" x14ac:dyDescent="0.4">
      <c r="A235" s="24" t="s">
        <v>0</v>
      </c>
      <c r="B235" s="24" t="s">
        <v>3</v>
      </c>
      <c r="C235" s="24" t="s">
        <v>4</v>
      </c>
      <c r="D235" s="24" t="s">
        <v>5</v>
      </c>
      <c r="E235" s="24" t="s">
        <v>6</v>
      </c>
      <c r="F235" s="24" t="s">
        <v>7</v>
      </c>
      <c r="G235" s="24" t="s">
        <v>8</v>
      </c>
      <c r="H235" s="24" t="s">
        <v>9</v>
      </c>
      <c r="I235" s="24" t="s">
        <v>10</v>
      </c>
      <c r="J235" s="24" t="s">
        <v>11</v>
      </c>
      <c r="K235" s="24" t="s">
        <v>12</v>
      </c>
      <c r="L235" s="24" t="s">
        <v>13</v>
      </c>
      <c r="M235" s="24" t="s">
        <v>14</v>
      </c>
      <c r="N235" s="24" t="s">
        <v>15</v>
      </c>
      <c r="O235" s="24" t="s">
        <v>16</v>
      </c>
      <c r="P235" s="24" t="s">
        <v>17</v>
      </c>
      <c r="Q235" s="24" t="s">
        <v>18</v>
      </c>
      <c r="R235" s="24" t="s">
        <v>19</v>
      </c>
      <c r="S235" s="24" t="s">
        <v>20</v>
      </c>
      <c r="T235" s="24" t="s">
        <v>21</v>
      </c>
      <c r="U235" s="24" t="s">
        <v>22</v>
      </c>
      <c r="V235" s="24" t="s">
        <v>23</v>
      </c>
      <c r="W235" s="24" t="s">
        <v>24</v>
      </c>
      <c r="X235" s="24" t="s">
        <v>25</v>
      </c>
      <c r="Y235" s="24" t="s">
        <v>26</v>
      </c>
      <c r="Z235" s="24" t="s">
        <v>27</v>
      </c>
      <c r="AA235" s="24" t="s">
        <v>28</v>
      </c>
    </row>
    <row r="236" spans="1:27" x14ac:dyDescent="0.25">
      <c r="A236" t="s">
        <v>30</v>
      </c>
      <c r="B236">
        <f>CORREL(D106:D134,Table415[Crude INF])</f>
        <v>-0.2689715479642053</v>
      </c>
      <c r="C236">
        <f>CORREL(E106:E134,Table415[Crude INF])</f>
        <v>0.41675729069907252</v>
      </c>
      <c r="D236">
        <f>CORREL(F106:F134,Table415[Crude INF])</f>
        <v>-0.23642963598017933</v>
      </c>
      <c r="E236">
        <f>CORREL(G106:G134,Table415[Crude INF])</f>
        <v>-0.31672030243039445</v>
      </c>
      <c r="F236">
        <f>CORREL(H106:H134,Table415[Crude INF])</f>
        <v>0.45794786337817667</v>
      </c>
      <c r="G236">
        <f>CORREL(I106:I134,Table415[Crude INF])</f>
        <v>4.6371483370641779E-2</v>
      </c>
      <c r="H236">
        <f>CORREL(J106:J134,Table415[Crude INF])</f>
        <v>-3.603163894990289E-2</v>
      </c>
      <c r="I236">
        <f>CORREL(K106:K134,Table415[Crude INF])</f>
        <v>-0.14718739696059313</v>
      </c>
      <c r="J236">
        <f>CORREL(L106:L134,Table415[Crude INF])</f>
        <v>-9.1492860832719097E-2</v>
      </c>
      <c r="K236">
        <f>CORREL(M106:M134,Table415[Crude INF])</f>
        <v>-0.16203827742380816</v>
      </c>
      <c r="L236">
        <f>CORREL(N106:N134,Table415[Crude INF])</f>
        <v>0.26685649788933463</v>
      </c>
      <c r="M236">
        <f>CORREL(O106:O134,Table415[Crude INF])</f>
        <v>0.12145772953165747</v>
      </c>
      <c r="N236">
        <f>CORREL(P106:P134,Table415[Crude INF])</f>
        <v>1.4268180751240474E-2</v>
      </c>
      <c r="O236">
        <f>CORREL(Q106:Q134,Table415[Crude INF])</f>
        <v>0.18192881500390021</v>
      </c>
      <c r="P236">
        <f>CORREL(R106:R134,Table415[Crude INF])</f>
        <v>4.4342682414290312E-2</v>
      </c>
      <c r="Q236">
        <f>CORREL(S106:S134,Table415[Crude INF])</f>
        <v>0.14774275917802679</v>
      </c>
      <c r="R236">
        <f>CORREL(T106:T134,Table415[Crude INF])</f>
        <v>6.7508285507169613E-2</v>
      </c>
      <c r="S236">
        <f>IFERROR(CORREL(U106:U134,Table415[Crude INF]),0)</f>
        <v>0</v>
      </c>
      <c r="T236">
        <f>CORREL(V106:V134,Table415[Crude INF])</f>
        <v>0.17437167219854494</v>
      </c>
      <c r="U236">
        <f>CORREL(W106:W134,Table415[Crude INF])</f>
        <v>-3.2111812585687856E-2</v>
      </c>
      <c r="V236">
        <f>CORREL(X106:X134,Table415[Crude INF])</f>
        <v>6.5813819784512201E-2</v>
      </c>
      <c r="W236">
        <f>CORREL(Y106:Y134,Table415[Crude INF])</f>
        <v>9.68629145148205E-2</v>
      </c>
      <c r="X236">
        <f>CORREL(Z106:Z134,Table415[Crude INF])</f>
        <v>0.31472462220963365</v>
      </c>
      <c r="Y236">
        <f>CORREL(AA106:AA134,Table415[Crude INF])</f>
        <v>-0.12639169099780759</v>
      </c>
      <c r="Z236">
        <f>CORREL(AB106:AB134,Table415[Crude INF])</f>
        <v>1.3641222920231901E-2</v>
      </c>
      <c r="AA236">
        <f>CORREL(AC106:AC134,Table415[Crude INF])</f>
        <v>5.4829204966343345E-2</v>
      </c>
    </row>
    <row r="237" spans="1:27" x14ac:dyDescent="0.25">
      <c r="A237" t="s">
        <v>34</v>
      </c>
      <c r="B237">
        <f t="shared" ref="B237:AA237" si="64">IFERROR(CORREL(D135:D163, Crude_INF),0)</f>
        <v>-0.29489047860650452</v>
      </c>
      <c r="C237">
        <f t="shared" si="64"/>
        <v>0.43192676344230313</v>
      </c>
      <c r="D237">
        <f t="shared" si="64"/>
        <v>-0.20662116893856389</v>
      </c>
      <c r="E237">
        <f t="shared" si="64"/>
        <v>-0.28372710484748542</v>
      </c>
      <c r="F237">
        <f t="shared" si="64"/>
        <v>0.41018372924887608</v>
      </c>
      <c r="G237">
        <f t="shared" si="64"/>
        <v>8.5663233999133476E-2</v>
      </c>
      <c r="H237">
        <f t="shared" si="64"/>
        <v>-1.0400312233639294E-2</v>
      </c>
      <c r="I237">
        <f t="shared" si="64"/>
        <v>-0.22634574388345158</v>
      </c>
      <c r="J237">
        <f t="shared" si="64"/>
        <v>-0.22221165240518317</v>
      </c>
      <c r="K237">
        <f t="shared" si="64"/>
        <v>-0.18311410467733549</v>
      </c>
      <c r="L237">
        <f t="shared" si="64"/>
        <v>0.21297882367943582</v>
      </c>
      <c r="M237">
        <f t="shared" si="64"/>
        <v>7.4899587005580276E-2</v>
      </c>
      <c r="N237">
        <f t="shared" si="64"/>
        <v>3.2087377523662787E-2</v>
      </c>
      <c r="O237">
        <f t="shared" si="64"/>
        <v>0.13834791316446937</v>
      </c>
      <c r="P237">
        <f t="shared" si="64"/>
        <v>4.4761177699084768E-2</v>
      </c>
      <c r="Q237">
        <f t="shared" si="64"/>
        <v>0.12573720254896992</v>
      </c>
      <c r="R237">
        <f t="shared" si="64"/>
        <v>6.7783366543956267E-2</v>
      </c>
      <c r="S237">
        <f t="shared" si="64"/>
        <v>8.038447547698796E-2</v>
      </c>
      <c r="T237">
        <f t="shared" si="64"/>
        <v>0.16035398817855198</v>
      </c>
      <c r="U237">
        <f t="shared" si="64"/>
        <v>-6.2288794200627752E-2</v>
      </c>
      <c r="V237">
        <f t="shared" si="64"/>
        <v>3.3186532208274007E-2</v>
      </c>
      <c r="W237">
        <f t="shared" si="64"/>
        <v>0.12208683915414072</v>
      </c>
      <c r="X237">
        <f t="shared" si="64"/>
        <v>9.930169965336276E-2</v>
      </c>
      <c r="Y237">
        <f t="shared" si="64"/>
        <v>-0.15297053451068848</v>
      </c>
      <c r="Z237">
        <f t="shared" si="64"/>
        <v>-4.093782982827315E-3</v>
      </c>
      <c r="AA237">
        <f t="shared" si="64"/>
        <v>7.3053531301710647E-2</v>
      </c>
    </row>
    <row r="238" spans="1:27" x14ac:dyDescent="0.25">
      <c r="A238" t="s">
        <v>33</v>
      </c>
      <c r="B238">
        <f t="shared" ref="B238:AA238" si="65">IFERROR(CORREL(D164:D192,Crude_INF),0)</f>
        <v>-0.3500077673912273</v>
      </c>
      <c r="C238">
        <f t="shared" si="65"/>
        <v>0.45328104660015733</v>
      </c>
      <c r="D238">
        <f t="shared" si="65"/>
        <v>-0.21270509888977035</v>
      </c>
      <c r="E238">
        <f t="shared" si="65"/>
        <v>-0.15343930197421668</v>
      </c>
      <c r="F238">
        <f t="shared" si="65"/>
        <v>0.40534275297131661</v>
      </c>
      <c r="G238">
        <f t="shared" si="65"/>
        <v>9.4070300589098613E-2</v>
      </c>
      <c r="H238">
        <f t="shared" si="65"/>
        <v>1.8608867245583954E-2</v>
      </c>
      <c r="I238">
        <f t="shared" si="65"/>
        <v>-0.25470595598470686</v>
      </c>
      <c r="J238">
        <f t="shared" si="65"/>
        <v>-0.21852685947331657</v>
      </c>
      <c r="K238">
        <f t="shared" si="65"/>
        <v>-0.18977678969256168</v>
      </c>
      <c r="L238">
        <f t="shared" si="65"/>
        <v>0.17671277212249198</v>
      </c>
      <c r="M238">
        <f t="shared" si="65"/>
        <v>6.472048611006001E-2</v>
      </c>
      <c r="N238">
        <f t="shared" si="65"/>
        <v>8.2484549533119803E-2</v>
      </c>
      <c r="O238">
        <f t="shared" si="65"/>
        <v>6.7393466631832863E-2</v>
      </c>
      <c r="P238">
        <f t="shared" si="65"/>
        <v>0.13797618312356161</v>
      </c>
      <c r="Q238">
        <f t="shared" si="65"/>
        <v>0.12889535170275918</v>
      </c>
      <c r="R238">
        <f t="shared" si="65"/>
        <v>0.1383589587192241</v>
      </c>
      <c r="S238">
        <f t="shared" si="65"/>
        <v>8.038447547698796E-2</v>
      </c>
      <c r="T238">
        <f t="shared" si="65"/>
        <v>0.14116630845717806</v>
      </c>
      <c r="U238">
        <f t="shared" si="65"/>
        <v>-5.4365159163868144E-2</v>
      </c>
      <c r="V238">
        <f t="shared" si="65"/>
        <v>0.10631281346438928</v>
      </c>
      <c r="W238">
        <f t="shared" si="65"/>
        <v>0.14654743146353977</v>
      </c>
      <c r="X238">
        <f t="shared" si="65"/>
        <v>8.7997624723126389E-2</v>
      </c>
      <c r="Y238">
        <f t="shared" si="65"/>
        <v>-3.7154235049267043E-2</v>
      </c>
      <c r="Z238">
        <f t="shared" si="65"/>
        <v>-5.5382964978107602E-2</v>
      </c>
      <c r="AA238">
        <f t="shared" si="65"/>
        <v>0.12205188659165978</v>
      </c>
    </row>
    <row r="240" spans="1:27" x14ac:dyDescent="0.25">
      <c r="B240" s="36" t="s">
        <v>0</v>
      </c>
      <c r="C240" t="s">
        <v>34</v>
      </c>
    </row>
    <row r="242" spans="2:3" x14ac:dyDescent="0.25">
      <c r="B242" s="36" t="s">
        <v>74</v>
      </c>
      <c r="C242" t="s">
        <v>109</v>
      </c>
    </row>
    <row r="243" spans="2:3" x14ac:dyDescent="0.25">
      <c r="B243" s="37" t="s">
        <v>4</v>
      </c>
      <c r="C243" s="38">
        <v>0.43192676344230313</v>
      </c>
    </row>
    <row r="244" spans="2:3" x14ac:dyDescent="0.25">
      <c r="B244" s="37" t="s">
        <v>7</v>
      </c>
      <c r="C244" s="38">
        <v>0.41018372924887608</v>
      </c>
    </row>
    <row r="245" spans="2:3" x14ac:dyDescent="0.25">
      <c r="B245" s="37" t="s">
        <v>13</v>
      </c>
      <c r="C245" s="38">
        <v>0.21297882367943582</v>
      </c>
    </row>
    <row r="246" spans="2:3" x14ac:dyDescent="0.25">
      <c r="B246" s="37" t="s">
        <v>21</v>
      </c>
      <c r="C246" s="38">
        <v>0.16035398817855198</v>
      </c>
    </row>
    <row r="247" spans="2:3" x14ac:dyDescent="0.25">
      <c r="B247" s="37" t="s">
        <v>16</v>
      </c>
      <c r="C247" s="38">
        <v>0.13834791316446937</v>
      </c>
    </row>
    <row r="248" spans="2:3" x14ac:dyDescent="0.25">
      <c r="B248" s="37" t="s">
        <v>18</v>
      </c>
      <c r="C248" s="38">
        <v>0.12573720254896992</v>
      </c>
    </row>
    <row r="249" spans="2:3" x14ac:dyDescent="0.25">
      <c r="B249" s="37" t="s">
        <v>24</v>
      </c>
      <c r="C249" s="38">
        <v>0.12208683915414072</v>
      </c>
    </row>
    <row r="250" spans="2:3" x14ac:dyDescent="0.25">
      <c r="B250" s="37" t="s">
        <v>25</v>
      </c>
      <c r="C250" s="38">
        <v>9.930169965336276E-2</v>
      </c>
    </row>
    <row r="251" spans="2:3" x14ac:dyDescent="0.25">
      <c r="B251" s="37" t="s">
        <v>8</v>
      </c>
      <c r="C251" s="38">
        <v>8.5663233999133476E-2</v>
      </c>
    </row>
    <row r="252" spans="2:3" x14ac:dyDescent="0.25">
      <c r="B252" s="37" t="s">
        <v>20</v>
      </c>
      <c r="C252" s="38">
        <v>8.038447547698796E-2</v>
      </c>
    </row>
    <row r="253" spans="2:3" x14ac:dyDescent="0.25">
      <c r="B253" s="37" t="s">
        <v>14</v>
      </c>
      <c r="C253" s="38">
        <v>7.4899587005580276E-2</v>
      </c>
    </row>
    <row r="254" spans="2:3" x14ac:dyDescent="0.25">
      <c r="B254" s="37" t="s">
        <v>28</v>
      </c>
      <c r="C254" s="38">
        <v>7.3053531301710647E-2</v>
      </c>
    </row>
    <row r="255" spans="2:3" x14ac:dyDescent="0.25">
      <c r="B255" s="37" t="s">
        <v>19</v>
      </c>
      <c r="C255" s="38">
        <v>6.7783366543956267E-2</v>
      </c>
    </row>
    <row r="256" spans="2:3" x14ac:dyDescent="0.25">
      <c r="B256" s="37" t="s">
        <v>17</v>
      </c>
      <c r="C256" s="38">
        <v>4.4761177699084768E-2</v>
      </c>
    </row>
    <row r="257" spans="2:3" x14ac:dyDescent="0.25">
      <c r="B257" s="37" t="s">
        <v>23</v>
      </c>
      <c r="C257" s="38">
        <v>3.3186532208274007E-2</v>
      </c>
    </row>
    <row r="258" spans="2:3" x14ac:dyDescent="0.25">
      <c r="B258" s="37" t="s">
        <v>15</v>
      </c>
      <c r="C258" s="38">
        <v>3.2087377523662787E-2</v>
      </c>
    </row>
    <row r="259" spans="2:3" x14ac:dyDescent="0.25">
      <c r="B259" s="37" t="s">
        <v>27</v>
      </c>
      <c r="C259" s="38">
        <v>-4.093782982827315E-3</v>
      </c>
    </row>
    <row r="260" spans="2:3" x14ac:dyDescent="0.25">
      <c r="B260" s="37" t="s">
        <v>9</v>
      </c>
      <c r="C260" s="38">
        <v>-1.0400312233639294E-2</v>
      </c>
    </row>
    <row r="261" spans="2:3" x14ac:dyDescent="0.25">
      <c r="B261" s="37" t="s">
        <v>22</v>
      </c>
      <c r="C261" s="38">
        <v>-6.2288794200627752E-2</v>
      </c>
    </row>
    <row r="262" spans="2:3" x14ac:dyDescent="0.25">
      <c r="B262" s="37" t="s">
        <v>26</v>
      </c>
      <c r="C262" s="38">
        <v>-0.15297053451068848</v>
      </c>
    </row>
    <row r="263" spans="2:3" x14ac:dyDescent="0.25">
      <c r="B263" s="37" t="s">
        <v>12</v>
      </c>
      <c r="C263" s="38">
        <v>-0.18311410467733549</v>
      </c>
    </row>
    <row r="264" spans="2:3" x14ac:dyDescent="0.25">
      <c r="B264" s="37" t="s">
        <v>5</v>
      </c>
      <c r="C264" s="38">
        <v>-0.20662116893856389</v>
      </c>
    </row>
    <row r="265" spans="2:3" x14ac:dyDescent="0.25">
      <c r="B265" s="37" t="s">
        <v>11</v>
      </c>
      <c r="C265" s="38">
        <v>-0.22221165240518317</v>
      </c>
    </row>
    <row r="266" spans="2:3" x14ac:dyDescent="0.25">
      <c r="B266" s="37" t="s">
        <v>10</v>
      </c>
      <c r="C266" s="38">
        <v>-0.22634574388345158</v>
      </c>
    </row>
    <row r="267" spans="2:3" x14ac:dyDescent="0.25">
      <c r="B267" s="37" t="s">
        <v>6</v>
      </c>
      <c r="C267" s="38">
        <v>-0.28372710484748542</v>
      </c>
    </row>
    <row r="268" spans="2:3" x14ac:dyDescent="0.25">
      <c r="B268" s="37" t="s">
        <v>3</v>
      </c>
      <c r="C268" s="38">
        <v>-0.29489047860650452</v>
      </c>
    </row>
    <row r="270" spans="2:3" x14ac:dyDescent="0.25">
      <c r="B270" s="25"/>
      <c r="C270" s="25"/>
    </row>
    <row r="271" spans="2:3" x14ac:dyDescent="0.25">
      <c r="B271" s="25"/>
      <c r="C271" s="25"/>
    </row>
    <row r="272" spans="2:3" x14ac:dyDescent="0.25">
      <c r="B272" s="25"/>
      <c r="C272" s="25"/>
    </row>
    <row r="273" spans="2:9" x14ac:dyDescent="0.25">
      <c r="B273" s="25"/>
      <c r="C273" s="25"/>
    </row>
    <row r="274" spans="2:9" x14ac:dyDescent="0.25">
      <c r="B274" s="25"/>
      <c r="C274" s="25"/>
    </row>
    <row r="275" spans="2:9" x14ac:dyDescent="0.25">
      <c r="B275" s="25"/>
      <c r="C275" s="25"/>
    </row>
    <row r="276" spans="2:9" x14ac:dyDescent="0.25">
      <c r="B276" s="25"/>
      <c r="C276" s="25"/>
    </row>
    <row r="277" spans="2:9" x14ac:dyDescent="0.25">
      <c r="B277" s="25"/>
      <c r="C277" s="25"/>
    </row>
    <row r="278" spans="2:9" x14ac:dyDescent="0.25">
      <c r="B278" s="25"/>
      <c r="C278" s="25"/>
    </row>
    <row r="279" spans="2:9" x14ac:dyDescent="0.25">
      <c r="B279" s="25"/>
      <c r="C279" s="25"/>
    </row>
    <row r="280" spans="2:9" ht="15" customHeight="1" x14ac:dyDescent="0.25">
      <c r="B280" s="25"/>
      <c r="C280" s="25"/>
      <c r="E280" s="67"/>
      <c r="F280" s="69" t="s">
        <v>52</v>
      </c>
      <c r="G280" s="69"/>
      <c r="H280" s="69"/>
      <c r="I280" s="67"/>
    </row>
    <row r="281" spans="2:9" ht="15" customHeight="1" x14ac:dyDescent="0.25">
      <c r="B281" s="25"/>
      <c r="C281" s="25"/>
      <c r="E281" s="67"/>
      <c r="F281" s="69"/>
      <c r="G281" s="69"/>
      <c r="H281" s="69"/>
      <c r="I281" s="67"/>
    </row>
    <row r="282" spans="2:9" x14ac:dyDescent="0.25">
      <c r="B282" s="25"/>
      <c r="C282" s="25"/>
    </row>
    <row r="283" spans="2:9" x14ac:dyDescent="0.25">
      <c r="B283" s="25"/>
      <c r="C283" s="25"/>
      <c r="E283" s="132" t="s">
        <v>112</v>
      </c>
      <c r="F283" s="132"/>
      <c r="G283" s="132"/>
      <c r="H283" s="132"/>
      <c r="I283" s="132"/>
    </row>
    <row r="284" spans="2:9" x14ac:dyDescent="0.25">
      <c r="B284" s="25"/>
      <c r="C284" s="25"/>
      <c r="E284" s="132"/>
      <c r="F284" s="132"/>
      <c r="G284" s="132"/>
      <c r="H284" s="132"/>
      <c r="I284" s="132"/>
    </row>
    <row r="285" spans="2:9" x14ac:dyDescent="0.25">
      <c r="B285" s="25"/>
      <c r="C285" s="25"/>
    </row>
    <row r="286" spans="2:9" x14ac:dyDescent="0.25">
      <c r="B286" s="25"/>
      <c r="C286" s="25"/>
      <c r="E286" s="133" t="s">
        <v>118</v>
      </c>
      <c r="F286" s="133"/>
      <c r="G286" s="133"/>
      <c r="H286" s="133"/>
      <c r="I286" s="133"/>
    </row>
    <row r="287" spans="2:9" x14ac:dyDescent="0.25">
      <c r="B287" s="25"/>
      <c r="C287" s="25"/>
      <c r="E287" s="133"/>
      <c r="F287" s="133"/>
      <c r="G287" s="133"/>
      <c r="H287" s="133"/>
      <c r="I287" s="133"/>
    </row>
    <row r="288" spans="2:9" x14ac:dyDescent="0.25">
      <c r="B288" s="25"/>
      <c r="C288" s="25"/>
      <c r="E288" s="133"/>
      <c r="F288" s="133"/>
      <c r="G288" s="133"/>
      <c r="H288" s="133"/>
      <c r="I288" s="133"/>
    </row>
    <row r="289" spans="2:9" x14ac:dyDescent="0.25">
      <c r="B289" s="25"/>
      <c r="C289" s="25"/>
      <c r="E289" s="133"/>
      <c r="F289" s="133"/>
      <c r="G289" s="133"/>
      <c r="H289" s="133"/>
      <c r="I289" s="133"/>
    </row>
    <row r="290" spans="2:9" x14ac:dyDescent="0.25">
      <c r="B290" s="25"/>
      <c r="C290" s="25"/>
    </row>
    <row r="291" spans="2:9" x14ac:dyDescent="0.25">
      <c r="B291" s="25"/>
      <c r="C291" s="25"/>
      <c r="E291" s="128" t="s">
        <v>113</v>
      </c>
      <c r="F291" s="128"/>
      <c r="G291" s="128"/>
      <c r="H291" s="128"/>
      <c r="I291" s="128"/>
    </row>
    <row r="292" spans="2:9" x14ac:dyDescent="0.25">
      <c r="B292" s="25"/>
      <c r="C292" s="25"/>
      <c r="E292" s="128"/>
      <c r="F292" s="128"/>
      <c r="G292" s="128"/>
      <c r="H292" s="128"/>
      <c r="I292" s="128"/>
    </row>
    <row r="293" spans="2:9" x14ac:dyDescent="0.25">
      <c r="B293" s="25"/>
      <c r="C293" s="25"/>
      <c r="E293" s="128"/>
      <c r="F293" s="128"/>
      <c r="G293" s="128"/>
      <c r="H293" s="128"/>
      <c r="I293" s="128"/>
    </row>
    <row r="294" spans="2:9" x14ac:dyDescent="0.25">
      <c r="B294" s="25"/>
      <c r="C294" s="25"/>
      <c r="E294" s="128"/>
      <c r="F294" s="128"/>
      <c r="G294" s="128"/>
      <c r="H294" s="128"/>
      <c r="I294" s="128"/>
    </row>
    <row r="295" spans="2:9" x14ac:dyDescent="0.25">
      <c r="B295" s="25"/>
      <c r="C295" s="25"/>
    </row>
    <row r="296" spans="2:9" x14ac:dyDescent="0.25">
      <c r="B296" s="25"/>
      <c r="C296" s="25"/>
      <c r="E296" s="129" t="s">
        <v>114</v>
      </c>
      <c r="F296" s="129"/>
      <c r="G296" s="129"/>
      <c r="H296" s="129"/>
      <c r="I296" s="129"/>
    </row>
    <row r="297" spans="2:9" x14ac:dyDescent="0.25">
      <c r="B297" s="25"/>
      <c r="C297" s="25"/>
      <c r="E297" s="129"/>
      <c r="F297" s="129"/>
      <c r="G297" s="129"/>
      <c r="H297" s="129"/>
      <c r="I297" s="129"/>
    </row>
    <row r="298" spans="2:9" x14ac:dyDescent="0.25">
      <c r="B298" s="25"/>
      <c r="C298" s="25"/>
    </row>
    <row r="299" spans="2:9" ht="15" customHeight="1" x14ac:dyDescent="0.25">
      <c r="B299" s="25"/>
      <c r="C299" s="25"/>
      <c r="E299" s="130" t="s">
        <v>115</v>
      </c>
      <c r="F299" s="130"/>
      <c r="G299" s="130"/>
      <c r="H299" s="130"/>
      <c r="I299" s="130"/>
    </row>
    <row r="300" spans="2:9" x14ac:dyDescent="0.25">
      <c r="B300" s="25"/>
      <c r="C300" s="25"/>
      <c r="E300" s="130"/>
      <c r="F300" s="130"/>
      <c r="G300" s="130"/>
      <c r="H300" s="130"/>
      <c r="I300" s="130"/>
    </row>
    <row r="301" spans="2:9" x14ac:dyDescent="0.25">
      <c r="B301" s="25"/>
      <c r="C301" s="25"/>
      <c r="E301" s="130"/>
      <c r="F301" s="130"/>
      <c r="G301" s="130"/>
      <c r="H301" s="130"/>
      <c r="I301" s="130"/>
    </row>
    <row r="302" spans="2:9" x14ac:dyDescent="0.25">
      <c r="B302" s="25"/>
      <c r="C302" s="25"/>
    </row>
    <row r="303" spans="2:9" x14ac:dyDescent="0.25">
      <c r="B303" s="25"/>
      <c r="C303" s="25"/>
    </row>
    <row r="304" spans="2:9" x14ac:dyDescent="0.25">
      <c r="B304" s="25"/>
      <c r="C304" s="25"/>
    </row>
    <row r="305" spans="2:3" x14ac:dyDescent="0.25">
      <c r="B305" s="25"/>
      <c r="C305" s="25"/>
    </row>
    <row r="306" spans="2:3" x14ac:dyDescent="0.25">
      <c r="B306" s="25"/>
      <c r="C306" s="25"/>
    </row>
    <row r="307" spans="2:3" x14ac:dyDescent="0.25">
      <c r="B307" s="25"/>
      <c r="C307" s="25"/>
    </row>
    <row r="308" spans="2:3" x14ac:dyDescent="0.25">
      <c r="B308" s="25"/>
      <c r="C308" s="25"/>
    </row>
    <row r="309" spans="2:3" x14ac:dyDescent="0.25">
      <c r="B309" s="25"/>
      <c r="C309" s="25"/>
    </row>
    <row r="310" spans="2:3" x14ac:dyDescent="0.25">
      <c r="B310" s="25"/>
      <c r="C310" s="25"/>
    </row>
    <row r="311" spans="2:3" x14ac:dyDescent="0.25">
      <c r="B311" s="25"/>
      <c r="C311" s="25"/>
    </row>
    <row r="312" spans="2:3" x14ac:dyDescent="0.25">
      <c r="B312" s="25"/>
      <c r="C312" s="25"/>
    </row>
    <row r="313" spans="2:3" x14ac:dyDescent="0.25">
      <c r="B313" s="25"/>
      <c r="C313" s="25"/>
    </row>
    <row r="314" spans="2:3" x14ac:dyDescent="0.25">
      <c r="B314" s="25"/>
      <c r="C314" s="25"/>
    </row>
    <row r="315" spans="2:3" x14ac:dyDescent="0.25">
      <c r="B315" s="25"/>
      <c r="C315" s="25"/>
    </row>
    <row r="316" spans="2:3" x14ac:dyDescent="0.25">
      <c r="B316" s="25"/>
      <c r="C316" s="25"/>
    </row>
    <row r="317" spans="2:3" x14ac:dyDescent="0.25">
      <c r="B317" s="25"/>
      <c r="C317" s="25"/>
    </row>
    <row r="318" spans="2:3" x14ac:dyDescent="0.25">
      <c r="B318" s="25"/>
      <c r="C318" s="25"/>
    </row>
    <row r="319" spans="2:3" x14ac:dyDescent="0.25">
      <c r="B319" s="25"/>
      <c r="C319" s="25"/>
    </row>
    <row r="320" spans="2:3" x14ac:dyDescent="0.25">
      <c r="B320" s="25"/>
      <c r="C320" s="25"/>
    </row>
    <row r="321" spans="2:3" x14ac:dyDescent="0.25">
      <c r="B321" s="25"/>
      <c r="C321" s="25"/>
    </row>
    <row r="322" spans="2:3" x14ac:dyDescent="0.25">
      <c r="B322" s="25"/>
      <c r="C322" s="25"/>
    </row>
    <row r="323" spans="2:3" x14ac:dyDescent="0.25">
      <c r="B323" s="25"/>
      <c r="C323" s="25"/>
    </row>
  </sheetData>
  <mergeCells count="12">
    <mergeCell ref="A103:D104"/>
    <mergeCell ref="B195:D196"/>
    <mergeCell ref="B229:E230"/>
    <mergeCell ref="A1:K6"/>
    <mergeCell ref="A9:D10"/>
    <mergeCell ref="E291:I294"/>
    <mergeCell ref="E296:I297"/>
    <mergeCell ref="E299:I301"/>
    <mergeCell ref="A233:C234"/>
    <mergeCell ref="F280:H281"/>
    <mergeCell ref="E283:I284"/>
    <mergeCell ref="E286:I289"/>
  </mergeCells>
  <pageMargins left="0.7" right="0.7" top="0.75" bottom="0.75" header="0.3" footer="0.3"/>
  <drawing r:id="rId2"/>
  <tableParts count="2">
    <tablePart r:id="rId3"/>
    <tablePart r:id="rId4"/>
  </tableParts>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6F68DCE-C172-41AC-A51E-E40EFAAD856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2.) All_India_Index_Upto_April2</vt:lpstr>
      <vt:lpstr>Q1</vt:lpstr>
      <vt:lpstr>Q2</vt:lpstr>
      <vt:lpstr>Q3</vt:lpstr>
      <vt:lpstr>Q4</vt:lpstr>
      <vt:lpstr>Q5</vt:lpstr>
      <vt:lpstr>Crude_INF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 Upadhyay</dc:creator>
  <cp:lastModifiedBy>Karan Upadhyay</cp:lastModifiedBy>
  <cp:lastPrinted>2026-08-05T07:58:31Z</cp:lastPrinted>
  <dcterms:created xsi:type="dcterms:W3CDTF">2026-07-13T13:55:56Z</dcterms:created>
  <dcterms:modified xsi:type="dcterms:W3CDTF">2026-09-28T17:04:24Z</dcterms:modified>
</cp:coreProperties>
</file>